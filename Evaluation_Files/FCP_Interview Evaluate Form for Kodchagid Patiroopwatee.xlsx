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D3E6DA9B-2DBE-4F0E-A047-AF14891FF835}" xr6:coauthVersionLast="47" xr6:coauthVersionMax="47" xr10:uidLastSave="{00000000-0000-0000-0000-000000000000}"/>
  <bookViews>
    <workbookView xWindow="30" yWindow="675" windowWidth="21600" windowHeight="15300" tabRatio="597" firstSheet="1" activeTab="1" xr2:uid="{6598361E-4C62-4B69-8502-13B5F75E3E62}"/>
  </bookViews>
  <sheets>
    <sheet name="Evaluate Interview form" sheetId="2" state="hidden" r:id="rId1"/>
    <sheet name="Evaluate Interview form (Demo)" sheetId="13" r:id="rId2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<sst xmlns="http://schemas.openxmlformats.org/spreadsheetml/2006/main" count="779" uniqueCount="279">
  <si>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</si>
  <si>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</si>
  <si>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</si>
  <si>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</si>
  <si>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</si>
  <si>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</si>
  <si>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</si>
  <si>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</si>
  <si>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</si>
  <si>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</si>
  <si>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</si>
  <si>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</si>
  <si>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</si>
  <si>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</si>
  <si>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</si>
  <si>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</si>
  <si>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</si>
  <si>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</si>
  <si>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</si>
  <si>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</si>
  <si>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</si>
  <si>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</si>
  <si>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</si>
  <si>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</si>
  <si>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</si>
  <si>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</si>
  <si>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</si>
  <si>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</si>
  <si>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</si>
  <si>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</si>
  <si>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</si>
  <si>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</si>
  <si>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</si>
  <si>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</si>
  <si>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</si>
  <si>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</si>
  <si>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</si>
  <si>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</si>
  <si>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</si>
  <si>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</si>
  <si>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</si>
  <si>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</si>
  <si>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</si>
  <si>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</si>
  <si>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</si>
  <si>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</si>
  <si>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</si>
  <si>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</si>
  <si>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</si>
  <si>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</si>
  <si>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</si>
  <si>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</si>
  <si>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</si>
  <si>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</si>
  <si>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</si>
  <si>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</si>
  <si>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</si>
  <si>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</si>
  <si>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</si>
  <si>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</si>
  <si>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</si>
  <si>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</si>
  <si>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</si>
  <si>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</si>
  <si>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</si>
  <si>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</si>
  <si>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</si>
  <si>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</si>
  <si>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</si>
  <si>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</si>
  <si>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</si>
  <si>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</si>
  <si>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</si>
  <si>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</si>
  <si>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</si>
  <si>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</si>
  <si>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</si>
  <si>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</si>
  <si>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</si>
  <si>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</si>
  <si>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</si>
  <si>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</si>
  <si>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</si>
  <si>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</si>
  <si>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</si>
  <si>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</si>
  <si>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</si>
  <si>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</si>
  <si>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</si>
  <si>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</si>
  <si>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</si>
  <si>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</si>
  <si>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</si>
  <si>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</si>
  <si>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</si>
  <si>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</si>
  <si>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</si>
  <si>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</si>
  <si>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</si>
  <si>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</si>
  <si>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</si>
  <si>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</si>
  <si>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</si>
  <si>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</si>
  <si>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</si>
  <si>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</si>
  <si>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</si>
  <si>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</si>
  <si>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</si>
  <si>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</si>
  <si>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</si>
  <si>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</si>
  <si>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</si>
  <si>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</si>
  <si>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</si>
  <si>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</si>
  <si>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</si>
  <si>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</si>
  <si>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</si>
  <si>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</si>
  <si>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</si>
  <si>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</si>
  <si>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</si>
  <si>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</si>
  <si>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</si>
  <si>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</si>
  <si>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</si>
  <si>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</si>
  <si>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</si>
  <si>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</si>
  <si>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</si>
  <si>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</si>
  <si>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</si>
  <si>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</si>
  <si>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</si>
  <si>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</si>
  <si>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</si>
  <si>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</si>
  <si>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</si>
  <si>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</si>
  <si>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</si>
  <si>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</si>
  <si>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</si>
  <si>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</si>
  <si>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</si>
  <si>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</si>
  <si>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</si>
  <si>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</si>
  <si>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</si>
  <si>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</si>
  <si>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</si>
  <si>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</si>
  <si>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</si>
  <si>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</si>
  <si>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</si>
  <si>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</si>
  <si>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</si>
  <si>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</si>
  <si>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</si>
  <si>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</si>
  <si>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</si>
  <si>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</si>
  <si>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</si>
  <si>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</si>
  <si>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</si>
  <si>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</si>
  <si>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</si>
  <si>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</si>
  <si>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</si>
  <si>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</si>
  <si>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</si>
  <si>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</si>
  <si>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</si>
  <si>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</si>
  <si>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</si>
  <si>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</si>
  <si>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</si>
  <si>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</si>
  <si>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</si>
  <si>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</si>
  <si>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</si>
  <si>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</si>
  <si>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</si>
  <si>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</si>
  <si>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</si>
  <si>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</si>
  <si>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</si>
  <si>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</si>
  <si>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</si>
  <si>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</si>
  <si>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</si>
  <si>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</si>
  <si>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</si>
  <si>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</si>
  <si>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</si>
  <si>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</si>
  <si>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</si>
  <si>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</si>
  <si>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</si>
  <si>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</si>
  <si>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</si>
  <si>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</si>
  <si>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</si>
  <si>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</si>
  <si>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</si>
  <si>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</si>
  <si>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</si>
  <si>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</si>
  <si>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</si>
  <si>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</si>
  <si>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</si>
  <si>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</si>
  <si>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</si>
  <si>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</si>
  <si>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</si>
  <si>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</si>
  <si>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</si>
  <si>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</si>
  <si>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</si>
  <si>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</si>
  <si>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</si>
  <si>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</si>
  <si>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</si>
  <si>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</si>
  <si>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</si>
  <si>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</si>
  <si>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</si>
  <si>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</si>
  <si>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</si>
  <si>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</si>
  <si>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</si>
  <si>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</si>
  <si>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</si>
  <si>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</si>
  <si>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</si>
  <si>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</si>
  <si>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</si>
  <si>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</si>
  <si>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</si>
  <si>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</si>
  <si>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</si>
  <si>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</si>
  <si>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</si>
  <si>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</si>
  <si>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</si>
  <si>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</si>
  <si>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</si>
  <si>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</si>
  <si>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</si>
  <si>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</si>
  <si>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</si>
  <si>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</si>
  <si>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</si>
  <si>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</si>
  <si>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</si>
  <si>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</si>
  <si>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</si>
  <si>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</si>
  <si>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</si>
  <si>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</si>
  <si>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</si>
  <si>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</si>
  <si>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</si>
  <si>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</si>
  <si>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</si>
  <si>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</si>
  <si>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</si>
  <si>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</si>
  <si>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</si>
  <si>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</si>
  <si>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</si>
  <si>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</si>
  <si>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</si>
  <si>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</si>
  <si>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</si>
  <si>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Ms. Jiraporn Chinphirasathian</t>
  </si>
  <si>
    <t>INS</t>
  </si>
  <si>
    <t>Implementer#2</t>
  </si>
  <si>
    <t>Upakit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</si>
</sst>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2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6" fillId="6" borderId="1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view="pageBreakPreview" topLeftCell="J56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20" max="20" width="52.28515625" customWidth="1"/>
    <col min="21" max="21" width="43.28515625" customWidth="1"/>
    <col min="22" max="22" width="61.140625" customWidth="1"/>
    <col min="23" max="23" width="50.7109375" customWidth="1"/>
    <col min="24" max="24" width="36.7109375" customWidth="1"/>
    <col min="25" max="25" width="45.5703125" customWidth="1"/>
    <col min="26" max="26" width="49.7109375" customWidth="1"/>
    <col min="27" max="27" width="44" customWidth="1"/>
    <col min="28" max="28" width="49.5703125" customWidth="1"/>
    <col min="29" max="29" width="38.28515625" customWidth="1"/>
    <col min="30" max="30" width="44.140625" customWidth="1"/>
    <col min="32" max="32" width="39.28515625" customWidth="1"/>
    <col min="33" max="33" width="35.28515625" customWidth="1"/>
    <col min="34" max="34" width="120" customWidth="1"/>
  </cols>
  <sheetData>
    <row r="1" spans="1:29" ht="33" customHeight="1" x14ac:dyDescent="0.25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P1" s="5"/>
    </row>
    <row r="2" spans="1:29" ht="25.15" customHeight="1" x14ac:dyDescent="0.25">
      <c r="A2" s="75" t="s">
        <v>1</v>
      </c>
      <c r="B2" s="334"/>
      <c r="C2" s="332"/>
      <c r="D2" s="332"/>
      <c r="E2" s="332"/>
      <c r="F2" s="333"/>
      <c r="G2" s="207" t="s">
        <v>2</v>
      </c>
      <c r="H2" s="208"/>
      <c r="I2" s="332"/>
      <c r="J2" s="332"/>
      <c r="K2" s="333"/>
      <c r="L2" s="207" t="s">
        <v>3</v>
      </c>
      <c r="M2" s="208"/>
      <c r="N2" s="289"/>
      <c r="O2" s="290"/>
      <c r="P2" s="3"/>
    </row>
    <row r="3" spans="1:29" ht="25.15" customHeight="1" x14ac:dyDescent="0.25">
      <c r="A3" s="76" t="s">
        <v>4</v>
      </c>
      <c r="B3" s="334"/>
      <c r="C3" s="332"/>
      <c r="D3" s="332"/>
      <c r="E3" s="332"/>
      <c r="F3" s="333"/>
      <c r="G3" s="207" t="s">
        <v>5</v>
      </c>
      <c r="H3" s="208"/>
      <c r="I3" s="332"/>
      <c r="J3" s="332"/>
      <c r="K3" s="333"/>
      <c r="L3" s="207" t="s">
        <v>6</v>
      </c>
      <c r="M3" s="208"/>
      <c r="N3" s="332"/>
      <c r="O3" s="333"/>
      <c r="P3" s="3"/>
    </row>
    <row r="4" spans="1:29" ht="25.15" customHeight="1" x14ac:dyDescent="0.25">
      <c r="A4" s="77" t="s">
        <v>7</v>
      </c>
      <c r="B4" s="334"/>
      <c r="C4" s="332"/>
      <c r="D4" s="332"/>
      <c r="E4" s="332"/>
      <c r="F4" s="333"/>
      <c r="G4" s="207" t="s">
        <v>8</v>
      </c>
      <c r="H4" s="208"/>
      <c r="I4" s="332"/>
      <c r="J4" s="332"/>
      <c r="K4" s="333"/>
      <c r="L4" s="207" t="s">
        <v>9</v>
      </c>
      <c r="M4" s="208"/>
      <c r="N4" s="289"/>
      <c r="O4" s="290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31" t="s">
        <v>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4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/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285" t="s">
        <v>56</v>
      </c>
      <c r="B8" s="230">
        <v>1</v>
      </c>
      <c r="C8" s="318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18"/>
      <c r="E8" s="318"/>
      <c r="F8" s="319"/>
      <c r="G8" s="300" t="s">
        <v>35</v>
      </c>
      <c r="H8" s="301"/>
      <c r="I8" s="292">
        <v>2</v>
      </c>
      <c r="J8" s="295">
        <v>2</v>
      </c>
      <c r="K8" s="291" t="str">
        <f>IF($J$8="","ระบุ",IF($J$8&lt;$I$8,"Below",IF($J$8=$I$8,"Meet","Exceed")))</f>
        <v>Meet</v>
      </c>
      <c r="L8" s="66" t="s">
        <v>57</v>
      </c>
      <c r="M8" s="298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298"/>
      <c r="O8" s="299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303" t="s">
        <v>61</v>
      </c>
      <c r="D9" s="303"/>
      <c r="E9" s="303"/>
      <c r="F9" s="304"/>
      <c r="G9" s="300"/>
      <c r="H9" s="301"/>
      <c r="I9" s="293"/>
      <c r="J9" s="295"/>
      <c r="K9" s="291"/>
      <c r="L9" s="175" t="s">
        <v>62</v>
      </c>
      <c r="M9" s="313"/>
      <c r="N9" s="313"/>
      <c r="O9" s="314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305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05"/>
      <c r="E10" s="305"/>
      <c r="F10" s="306"/>
      <c r="G10" s="300"/>
      <c r="H10" s="301"/>
      <c r="I10" s="293"/>
      <c r="J10" s="295"/>
      <c r="K10" s="291"/>
      <c r="L10" s="176"/>
      <c r="M10" s="313"/>
      <c r="N10" s="313"/>
      <c r="O10" s="314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307"/>
      <c r="D11" s="307"/>
      <c r="E11" s="307"/>
      <c r="F11" s="308"/>
      <c r="G11" s="300"/>
      <c r="H11" s="301"/>
      <c r="I11" s="294"/>
      <c r="J11" s="295"/>
      <c r="K11" s="291"/>
      <c r="L11" s="177"/>
      <c r="M11" s="313"/>
      <c r="N11" s="313"/>
      <c r="O11" s="314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285"/>
      <c r="B12" s="230">
        <v>2</v>
      </c>
      <c r="C12" s="318" t="str">
        <f>IF(ISBLANK($G$12),"โปรดเลือกสมรรถนะที่ต้องการประเมิน",$G$12)</f>
        <v>การแก้ไขปัญหา 
(Problem Solving)</v>
      </c>
      <c r="D12" s="318"/>
      <c r="E12" s="318"/>
      <c r="F12" s="319"/>
      <c r="G12" s="300" t="s">
        <v>38</v>
      </c>
      <c r="H12" s="301"/>
      <c r="I12" s="292">
        <v>3</v>
      </c>
      <c r="J12" s="295">
        <v>3</v>
      </c>
      <c r="K12" s="291" t="str">
        <f>IF($J$12="","ระบุ",IF($J$12&lt;$I$12,"Below",IF($J$12=$I$12,"Meet","Exceed")))</f>
        <v>Meet</v>
      </c>
      <c r="L12" s="61" t="s">
        <v>57</v>
      </c>
      <c r="M12" s="298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298"/>
      <c r="O12" s="299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326" t="s">
        <v>61</v>
      </c>
      <c r="D13" s="326"/>
      <c r="E13" s="326"/>
      <c r="F13" s="327"/>
      <c r="G13" s="300"/>
      <c r="H13" s="301"/>
      <c r="I13" s="293"/>
      <c r="J13" s="295"/>
      <c r="K13" s="291"/>
      <c r="L13" s="175" t="s">
        <v>62</v>
      </c>
      <c r="M13" s="313"/>
      <c r="N13" s="313"/>
      <c r="O13" s="314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305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05"/>
      <c r="E14" s="305"/>
      <c r="F14" s="306"/>
      <c r="G14" s="300"/>
      <c r="H14" s="301"/>
      <c r="I14" s="293"/>
      <c r="J14" s="295"/>
      <c r="K14" s="291"/>
      <c r="L14" s="176"/>
      <c r="M14" s="313"/>
      <c r="N14" s="313"/>
      <c r="O14" s="314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307"/>
      <c r="D15" s="307"/>
      <c r="E15" s="307"/>
      <c r="F15" s="308"/>
      <c r="G15" s="300"/>
      <c r="H15" s="301"/>
      <c r="I15" s="294"/>
      <c r="J15" s="295"/>
      <c r="K15" s="291"/>
      <c r="L15" s="177"/>
      <c r="M15" s="316"/>
      <c r="N15" s="316"/>
      <c r="O15" s="31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309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09"/>
      <c r="E16" s="309"/>
      <c r="F16" s="310"/>
      <c r="G16" s="302" t="s">
        <v>53</v>
      </c>
      <c r="H16" s="302"/>
      <c r="I16" s="292">
        <v>2</v>
      </c>
      <c r="J16" s="295">
        <v>2</v>
      </c>
      <c r="K16" s="291" t="str">
        <f>IF($J$16="","ระบุ",IF($J$16&lt;$I$16,"Below",IF($J$16=$I$16,"Meet","Exceed")))</f>
        <v>Meet</v>
      </c>
      <c r="L16" s="66" t="s">
        <v>57</v>
      </c>
      <c r="M16" s="296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296"/>
      <c r="O16" s="297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326" t="s">
        <v>61</v>
      </c>
      <c r="D17" s="326"/>
      <c r="E17" s="326"/>
      <c r="F17" s="327"/>
      <c r="G17" s="302"/>
      <c r="H17" s="302"/>
      <c r="I17" s="293"/>
      <c r="J17" s="295"/>
      <c r="K17" s="291"/>
      <c r="L17" s="175" t="s">
        <v>62</v>
      </c>
      <c r="M17" s="313"/>
      <c r="N17" s="313"/>
      <c r="O17" s="314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32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320"/>
      <c r="E18" s="320"/>
      <c r="F18" s="321"/>
      <c r="G18" s="302"/>
      <c r="H18" s="302"/>
      <c r="I18" s="293"/>
      <c r="J18" s="295"/>
      <c r="K18" s="291"/>
      <c r="L18" s="176"/>
      <c r="M18" s="313"/>
      <c r="N18" s="313"/>
      <c r="O18" s="314"/>
      <c r="P18" s="3"/>
      <c r="T18" s="24"/>
      <c r="Y18" s="22"/>
      <c r="AB18" s="29"/>
      <c r="AC18" s="29"/>
    </row>
    <row r="19" spans="1:30" ht="34.9" customHeight="1" x14ac:dyDescent="0.25">
      <c r="A19" s="285"/>
      <c r="B19" s="231"/>
      <c r="C19" s="322"/>
      <c r="D19" s="322"/>
      <c r="E19" s="322"/>
      <c r="F19" s="323"/>
      <c r="G19" s="302"/>
      <c r="H19" s="302"/>
      <c r="I19" s="294"/>
      <c r="J19" s="295"/>
      <c r="K19" s="291"/>
      <c r="L19" s="177"/>
      <c r="M19" s="316"/>
      <c r="N19" s="316"/>
      <c r="O19" s="31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309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09"/>
      <c r="E20" s="309"/>
      <c r="F20" s="310"/>
      <c r="G20" s="359" t="s">
        <v>53</v>
      </c>
      <c r="H20" s="360"/>
      <c r="I20" s="292">
        <v>2</v>
      </c>
      <c r="J20" s="295">
        <v>3</v>
      </c>
      <c r="K20" s="291" t="str">
        <f>IF($J$20="","ระบุ",IF($J$20&lt;$I$20,"Below",IF($J$20=$I$20,"Meet","Exceed")))</f>
        <v>Exceed</v>
      </c>
      <c r="L20" s="66" t="s">
        <v>57</v>
      </c>
      <c r="M20" s="298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298"/>
      <c r="O20" s="299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326" t="s">
        <v>61</v>
      </c>
      <c r="D21" s="326"/>
      <c r="E21" s="326"/>
      <c r="F21" s="327"/>
      <c r="G21" s="359"/>
      <c r="H21" s="360"/>
      <c r="I21" s="293"/>
      <c r="J21" s="295"/>
      <c r="K21" s="291"/>
      <c r="L21" s="175" t="s">
        <v>62</v>
      </c>
      <c r="M21" s="313"/>
      <c r="N21" s="313"/>
      <c r="O21" s="314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32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320"/>
      <c r="E22" s="320"/>
      <c r="F22" s="321"/>
      <c r="G22" s="359"/>
      <c r="H22" s="360"/>
      <c r="I22" s="293"/>
      <c r="J22" s="295"/>
      <c r="K22" s="291"/>
      <c r="L22" s="176"/>
      <c r="M22" s="313"/>
      <c r="N22" s="313"/>
      <c r="O22" s="314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322"/>
      <c r="D23" s="322"/>
      <c r="E23" s="322"/>
      <c r="F23" s="323"/>
      <c r="G23" s="359"/>
      <c r="H23" s="360"/>
      <c r="I23" s="294"/>
      <c r="J23" s="295"/>
      <c r="K23" s="291"/>
      <c r="L23" s="177"/>
      <c r="M23" s="316"/>
      <c r="N23" s="316"/>
      <c r="O23" s="317"/>
      <c r="P23" s="3"/>
      <c r="T23" s="24"/>
      <c r="Y23" s="22"/>
      <c r="AB23" s="29"/>
      <c r="AC23" s="35"/>
    </row>
    <row r="24" spans="1:30" ht="40.15" customHeight="1" x14ac:dyDescent="0.25">
      <c r="A24" s="244"/>
      <c r="B24" s="230">
        <v>5</v>
      </c>
      <c r="C24" s="324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24"/>
      <c r="E24" s="324"/>
      <c r="F24" s="325"/>
      <c r="G24" s="361" t="s">
        <v>41</v>
      </c>
      <c r="H24" s="302"/>
      <c r="I24" s="292">
        <v>2</v>
      </c>
      <c r="J24" s="295">
        <v>1</v>
      </c>
      <c r="K24" s="291" t="str">
        <f>IF($J$24="","ระบุ",IF($J$24&lt;$I$24,"Below",IF($J$24=$I$24,"Meet","Exceed")))</f>
        <v>Below</v>
      </c>
      <c r="L24" s="66" t="s">
        <v>57</v>
      </c>
      <c r="M24" s="298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298"/>
      <c r="O24" s="299"/>
      <c r="P24" s="3"/>
    </row>
    <row r="25" spans="1:30" ht="34.9" customHeight="1" x14ac:dyDescent="0.25">
      <c r="A25" s="244"/>
      <c r="B25" s="231"/>
      <c r="C25" s="311" t="s">
        <v>61</v>
      </c>
      <c r="D25" s="311"/>
      <c r="E25" s="311"/>
      <c r="F25" s="312"/>
      <c r="G25" s="361"/>
      <c r="H25" s="302"/>
      <c r="I25" s="293"/>
      <c r="J25" s="295"/>
      <c r="K25" s="291"/>
      <c r="L25" s="175" t="s">
        <v>62</v>
      </c>
      <c r="M25" s="313"/>
      <c r="N25" s="313"/>
      <c r="O25" s="314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32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320"/>
      <c r="E26" s="320"/>
      <c r="F26" s="321"/>
      <c r="G26" s="361"/>
      <c r="H26" s="302"/>
      <c r="I26" s="293"/>
      <c r="J26" s="295"/>
      <c r="K26" s="291"/>
      <c r="L26" s="176"/>
      <c r="M26" s="313"/>
      <c r="N26" s="313"/>
      <c r="O26" s="314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43"/>
      <c r="AB26" s="243"/>
      <c r="AC26" s="243"/>
      <c r="AD26" s="226"/>
    </row>
    <row r="27" spans="1:30" ht="34.9" customHeight="1" x14ac:dyDescent="0.5">
      <c r="A27" s="244"/>
      <c r="B27" s="231"/>
      <c r="C27" s="322"/>
      <c r="D27" s="322"/>
      <c r="E27" s="322"/>
      <c r="F27" s="323"/>
      <c r="G27" s="361"/>
      <c r="H27" s="302"/>
      <c r="I27" s="294"/>
      <c r="J27" s="295"/>
      <c r="K27" s="291"/>
      <c r="L27" s="177"/>
      <c r="M27" s="316"/>
      <c r="N27" s="316"/>
      <c r="O27" s="317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324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24"/>
      <c r="E28" s="324"/>
      <c r="F28" s="325"/>
      <c r="G28" s="301" t="s">
        <v>41</v>
      </c>
      <c r="H28" s="301"/>
      <c r="I28" s="292">
        <v>2</v>
      </c>
      <c r="J28" s="295">
        <v>3</v>
      </c>
      <c r="K28" s="291" t="str">
        <f>IF($J$28="","ระบุ",IF($J$28&lt;$I$28,"Below",IF($J$28=$I$28,"Meet","Exceed")))</f>
        <v>Exceed</v>
      </c>
      <c r="L28" s="66" t="s">
        <v>57</v>
      </c>
      <c r="M28" s="298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298"/>
      <c r="O28" s="299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311" t="s">
        <v>61</v>
      </c>
      <c r="D29" s="311"/>
      <c r="E29" s="311"/>
      <c r="F29" s="312"/>
      <c r="G29" s="301"/>
      <c r="H29" s="301"/>
      <c r="I29" s="293"/>
      <c r="J29" s="295"/>
      <c r="K29" s="291"/>
      <c r="L29" s="175" t="s">
        <v>62</v>
      </c>
      <c r="M29" s="313"/>
      <c r="N29" s="313"/>
      <c r="O29" s="314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32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320"/>
      <c r="E30" s="320"/>
      <c r="F30" s="321"/>
      <c r="G30" s="362"/>
      <c r="H30" s="362"/>
      <c r="I30" s="293"/>
      <c r="J30" s="295"/>
      <c r="K30" s="291"/>
      <c r="L30" s="176"/>
      <c r="M30" s="313"/>
      <c r="N30" s="313"/>
      <c r="O30" s="314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322"/>
      <c r="D31" s="322"/>
      <c r="E31" s="322"/>
      <c r="F31" s="323"/>
      <c r="G31" s="301"/>
      <c r="H31" s="301"/>
      <c r="I31" s="294"/>
      <c r="J31" s="295"/>
      <c r="K31" s="291"/>
      <c r="L31" s="177"/>
      <c r="M31" s="316"/>
      <c r="N31" s="316"/>
      <c r="O31" s="317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324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24"/>
      <c r="E32" s="324"/>
      <c r="F32" s="325"/>
      <c r="G32" s="302" t="s">
        <v>25</v>
      </c>
      <c r="H32" s="302"/>
      <c r="I32" s="292">
        <v>2</v>
      </c>
      <c r="J32" s="295">
        <v>2</v>
      </c>
      <c r="K32" s="291" t="str">
        <f>IF($J$32="","ระบุ",IF($J$32&lt;$I$32,"Below",IF($J$32=$I$32,"Meet","Exceed")))</f>
        <v>Meet</v>
      </c>
      <c r="L32" s="66" t="s">
        <v>57</v>
      </c>
      <c r="M32" s="298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298"/>
      <c r="O32" s="299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303" t="s">
        <v>61</v>
      </c>
      <c r="D33" s="303"/>
      <c r="E33" s="303"/>
      <c r="F33" s="304"/>
      <c r="G33" s="302"/>
      <c r="H33" s="302"/>
      <c r="I33" s="293"/>
      <c r="J33" s="295"/>
      <c r="K33" s="291"/>
      <c r="L33" s="175" t="s">
        <v>62</v>
      </c>
      <c r="M33" s="313"/>
      <c r="N33" s="313"/>
      <c r="O33" s="314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32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320"/>
      <c r="E34" s="320"/>
      <c r="F34" s="321"/>
      <c r="G34" s="315"/>
      <c r="H34" s="315"/>
      <c r="I34" s="293"/>
      <c r="J34" s="295"/>
      <c r="K34" s="291"/>
      <c r="L34" s="176"/>
      <c r="M34" s="313"/>
      <c r="N34" s="313"/>
      <c r="O34" s="314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322"/>
      <c r="D35" s="322"/>
      <c r="E35" s="322"/>
      <c r="F35" s="323"/>
      <c r="G35" s="302"/>
      <c r="H35" s="302"/>
      <c r="I35" s="294"/>
      <c r="J35" s="295"/>
      <c r="K35" s="291"/>
      <c r="L35" s="177"/>
      <c r="M35" s="316"/>
      <c r="N35" s="316"/>
      <c r="O35" s="31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43"/>
      <c r="AB37" s="243"/>
      <c r="AC37" s="226"/>
    </row>
    <row r="38" spans="1:30" ht="23.45" customHeight="1" x14ac:dyDescent="0.25">
      <c r="A38" s="338"/>
      <c r="B38" s="336"/>
      <c r="C38" s="336"/>
      <c r="D38" s="336"/>
      <c r="E38" s="336"/>
      <c r="F38" s="336"/>
      <c r="G38" s="336"/>
      <c r="H38" s="8"/>
      <c r="I38" s="8"/>
      <c r="J38" s="336"/>
      <c r="K38" s="336"/>
      <c r="L38" s="336"/>
      <c r="M38" s="336"/>
      <c r="N38" s="336"/>
      <c r="O38" s="336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23.45" customHeight="1" x14ac:dyDescent="0.5">
      <c r="A39" s="339"/>
      <c r="B39" s="337"/>
      <c r="C39" s="337"/>
      <c r="D39" s="337"/>
      <c r="E39" s="337"/>
      <c r="F39" s="337"/>
      <c r="G39" s="337"/>
      <c r="H39" s="8"/>
      <c r="I39" s="8"/>
      <c r="J39" s="337"/>
      <c r="K39" s="337"/>
      <c r="L39" s="337"/>
      <c r="M39" s="337"/>
      <c r="N39" s="337"/>
      <c r="O39" s="337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43"/>
      <c r="AB39" s="243"/>
      <c r="AC39" s="22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43"/>
      <c r="AB41" s="243"/>
      <c r="AC41" s="226"/>
    </row>
    <row r="42" spans="1:30" ht="34.5" x14ac:dyDescent="0.7">
      <c r="A42" s="252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23.45" customHeight="1" x14ac:dyDescent="0.5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"/>
      <c r="T43" s="90"/>
      <c r="U43" s="92"/>
      <c r="V43" s="92"/>
      <c r="W43" s="92"/>
      <c r="X43" s="92"/>
      <c r="Y43" s="92"/>
      <c r="Z43" s="92"/>
      <c r="AA43" s="243"/>
      <c r="AB43" s="243"/>
      <c r="AC43" s="226"/>
    </row>
    <row r="44" spans="1:30" ht="23.45" customHeight="1" x14ac:dyDescent="0.5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"/>
      <c r="W46" s="79"/>
    </row>
    <row r="47" spans="1:30" ht="23.45" customHeight="1" x14ac:dyDescent="0.25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198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363" t="s">
        <v>110</v>
      </c>
      <c r="B50" s="364"/>
      <c r="C50" s="364"/>
      <c r="D50" s="108" t="s">
        <v>111</v>
      </c>
      <c r="E50" s="106" t="s">
        <v>112</v>
      </c>
      <c r="F50" s="367" t="s">
        <v>113</v>
      </c>
      <c r="G50" s="368"/>
      <c r="H50" s="369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74" t="s">
        <v>115</v>
      </c>
      <c r="B51" s="375"/>
      <c r="C51" s="376"/>
      <c r="D51" s="109" t="s">
        <v>10</v>
      </c>
      <c r="E51" s="278"/>
      <c r="F51" s="365" t="str">
        <f>IF($U$36&gt;0,"Below:",IF($U$38=3,"Exceed Plus",IF(AND($U$36=0,$U$38&gt;1),"Exceed:",IF(AND($U$37=2,$U$38=1,$U$36=0),"Meet Plus","Meet"))))</f>
        <v>Meet</v>
      </c>
      <c r="G51" s="370" t="str">
        <f>IF(OR($F$51="Exceed",$F$51="Exceed Plus",$F$51="Meet",$F$51="Meet Plus"),"Can do","Can't do")</f>
        <v>Can do</v>
      </c>
      <c r="H51" s="371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53" t="s">
        <v>117</v>
      </c>
      <c r="B52" s="354"/>
      <c r="C52" s="355"/>
      <c r="D52" s="110" t="s">
        <v>118</v>
      </c>
      <c r="E52" s="279"/>
      <c r="F52" s="366"/>
      <c r="G52" s="372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73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7" t="s">
        <v>121</v>
      </c>
      <c r="B53" s="348"/>
      <c r="C53" s="349"/>
      <c r="D53" s="111" t="s">
        <v>13</v>
      </c>
      <c r="E53" s="262"/>
      <c r="F53" s="343" t="str" cm="1">
        <f t="array" ref="F53">_xlfn.IFS($T$36=2,"Below",$T$38&gt;1,"Exceed",$T$37&gt;1,"Meet",AND($T$37=1,$T$38=1),"Meet Plus",OR(AND($T$38=1,T37=1),$T$36=1),"Meet Minus")</f>
        <v>Meet Minus</v>
      </c>
      <c r="G53" s="345" t="str">
        <f>IF(OR($F$53="Exceed",$F$53="Exceed Plus",$F$53="Meet Plus",$F$53="Meet"),"Prefer &amp; Can do",IF($F$53="Meet Minus","Maybe can do","Can't do"))</f>
        <v>Maybe can do</v>
      </c>
      <c r="H53" s="346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40" t="s">
        <v>122</v>
      </c>
      <c r="B54" s="341"/>
      <c r="C54" s="342"/>
      <c r="D54" s="112" t="s">
        <v>123</v>
      </c>
      <c r="E54" s="263"/>
      <c r="F54" s="344"/>
      <c r="G54" s="32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32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50" t="s">
        <v>125</v>
      </c>
      <c r="B55" s="351"/>
      <c r="C55" s="352"/>
      <c r="D55" s="113" t="s">
        <v>16</v>
      </c>
      <c r="E55" s="262"/>
      <c r="F55" s="343" t="str" cm="1">
        <f t="array" ref="F55">_xlfn.IFS($V$36=2,"Below",$V$38&gt;1,"Exceed",$V$37&gt;1,"Meet",AND($V$37=1,$V$38=1),"Meet Plus",OR(AND($V$38=1,V39=1),$V$36=1),"Meet Minus")</f>
        <v>Meet Plus</v>
      </c>
      <c r="G55" s="345" t="str">
        <f>IF(OR($F$55="Exceed",$F$55="Exceed Plus"),"Best fit",IF(OR($F$55="Meet Plus",$F$55="Meet"),"Fit",IF($F$55="Meet Minus","Maybe fit","Not fit in culture")))</f>
        <v>Fit</v>
      </c>
      <c r="H55" s="346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6" t="s">
        <v>126</v>
      </c>
      <c r="B56" s="357"/>
      <c r="C56" s="358"/>
      <c r="D56" s="112" t="s">
        <v>127</v>
      </c>
      <c r="E56" s="263"/>
      <c r="F56" s="344"/>
      <c r="G56" s="32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32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252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"/>
      <c r="W61" s="79"/>
    </row>
    <row r="62" spans="1:23" ht="23.45" customHeight="1" x14ac:dyDescent="0.25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"/>
      <c r="W62" s="79"/>
    </row>
    <row r="63" spans="1:23" ht="23.45" customHeight="1" x14ac:dyDescent="0.25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"/>
      <c r="W63" s="79"/>
    </row>
    <row r="64" spans="1:23" ht="23.45" customHeight="1" x14ac:dyDescent="0.25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"/>
    </row>
    <row r="65" spans="1:34" ht="23.45" customHeight="1" x14ac:dyDescent="0.25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tabSelected="1" view="pageBreakPreview" zoomScale="70" zoomScaleNormal="55" zoomScaleSheetLayoutView="70" workbookViewId="0">
      <selection activeCell="B3" sqref="B3:F3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7" max="16384" width="9.140625" hidden="1" customWidth="1"/>
  </cols>
  <sheetData>
    <row r="1" spans="1:29" ht="33" customHeight="1" x14ac:dyDescent="0.25">
      <c r="A1" s="201" t="s">
        <v>0</v>
      </c>
      <c r="B1" s="202"/>
      <c r="C1" s="202"/>
      <c r="D1" s="202"/>
      <c r="E1" s="202"/>
      <c r="F1" s="202"/>
      <c r="G1" s="203"/>
      <c r="H1" s="203"/>
      <c r="I1" s="202"/>
      <c r="J1" s="202"/>
      <c r="K1" s="202"/>
      <c r="L1" s="202"/>
      <c r="M1" s="202"/>
      <c r="N1" s="202"/>
      <c r="O1" s="204"/>
      <c r="P1" s="3"/>
    </row>
    <row r="2" spans="1:29" ht="25.15" customHeight="1" x14ac:dyDescent="0.25">
      <c r="A2" s="141" t="s">
        <v>1</v>
      </c>
      <c r="B2" s="205" t="inlineStr">
        <is>
          <t xml:space="preserve">Mr. Kodchagid Patiroopwatee</t>
        </is>
      </c>
      <c r="C2" s="206"/>
      <c r="D2" s="206"/>
      <c r="E2" s="206"/>
      <c r="F2" s="206"/>
      <c r="G2" s="207" t="s">
        <v>2</v>
      </c>
      <c r="H2" s="208"/>
      <c r="I2" s="206" t="inlineStr">
        <is>
          <t xml:space="preserve">System Engineer</t>
        </is>
      </c>
      <c r="J2" s="206"/>
      <c r="K2" s="206"/>
      <c r="L2" s="206"/>
      <c r="M2" s="138" t="s">
        <v>3</v>
      </c>
      <c r="N2" s="206" t="inlineStr">
        <is>
          <t xml:space="preserve">Software Implementer</t>
        </is>
      </c>
      <c r="O2" s="209"/>
      <c r="P2" s="3"/>
    </row>
    <row r="3" spans="1:29" ht="25.15" customHeight="1" x14ac:dyDescent="0.25">
      <c r="A3" s="140" t="s">
        <v>4</v>
      </c>
      <c r="B3" s="205" t="inlineStr">
        <is>
          <t xml:space="preserve">Freewill Compile Co.,Ltd</t>
        </is>
      </c>
      <c r="C3" s="206"/>
      <c r="D3" s="206"/>
      <c r="E3" s="206"/>
      <c r="F3" s="206"/>
      <c r="G3" s="207" t="s">
        <v>5</v>
      </c>
      <c r="H3" s="208"/>
      <c r="I3" s="206" t="inlineStr">
        <is>
          <t xml:space="preserve">Implement &amp; Support</t>
        </is>
      </c>
      <c r="J3" s="206"/>
      <c r="K3" s="206"/>
      <c r="L3" s="206"/>
      <c r="M3" s="139" t="s">
        <v>6</v>
      </c>
      <c r="N3" s="206" t="inlineStr">
        <is>
          <t xml:space="preserve">FCP</t>
        </is>
      </c>
      <c r="O3" s="209"/>
      <c r="P3" s="3"/>
    </row>
    <row r="4" spans="1:29" ht="25.15" customHeight="1" x14ac:dyDescent="0.25">
      <c r="A4" s="142" t="s">
        <v>7</v>
      </c>
      <c r="B4" s="224" t="inlineStr">
        <is>
          <t xml:space="preserve">2026-06-23</t>
        </is>
      </c>
      <c r="C4" s="225"/>
      <c r="D4" s="225"/>
      <c r="E4" s="225"/>
      <c r="F4" s="225"/>
      <c r="G4" s="207" t="s">
        <v>8</v>
      </c>
      <c r="H4" s="208"/>
      <c r="I4" s="206" t="inlineStr">
        <is>
          <t xml:space="preserve">asdferqwe</t>
        </is>
      </c>
      <c r="J4" s="206"/>
      <c r="K4" s="206"/>
      <c r="L4" s="206"/>
      <c r="M4" s="139" t="s">
        <v>9</v>
      </c>
      <c r="N4" s="206" t="inlineStr">
        <is>
          <t xml:space="preserve">weqrqwer</t>
        </is>
      </c>
      <c r="O4" s="209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01" t="s">
        <v>20</v>
      </c>
      <c r="B5" s="202"/>
      <c r="C5" s="202"/>
      <c r="D5" s="202"/>
      <c r="E5" s="202"/>
      <c r="F5" s="202"/>
      <c r="G5" s="216"/>
      <c r="H5" s="216"/>
      <c r="I5" s="202"/>
      <c r="J5" s="202"/>
      <c r="K5" s="202"/>
      <c r="L5" s="202"/>
      <c r="M5" s="202"/>
      <c r="N5" s="202"/>
      <c r="O5" s="204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 t="s">
        <v>194</v>
      </c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285" t="s">
        <v>56</v>
      </c>
      <c r="B8" s="230">
        <v>1</v>
      </c>
      <c r="C8" s="288" t="str">
        <f>IF(ISBLANK($G$8),"โปรดเลือกสมรรถนะที่ต้องการประเมิน",$G$8)</f>
        <v>การแก้ไขปัญหา 
(Problem Solving)</v>
      </c>
      <c r="D8" s="288"/>
      <c r="E8" s="169" t="s">
        <v>196</v>
      </c>
      <c r="F8" s="131"/>
      <c r="G8" s="282" t="s">
        <v>38</v>
      </c>
      <c r="H8" s="234"/>
      <c r="I8" s="236">
        <v>2</v>
      </c>
      <c r="J8" s="188"/>
      <c r="K8" s="170" t="str">
        <f>IF($J$8="","ระบุคะแนน",IF($J$8&lt;$I$8,"Below",IF($J$8=$I$8,"Meet","Exceed")))</f>
        <v>ระบุคะแนน</v>
      </c>
      <c r="L8" s="66" t="s">
        <v>57</v>
      </c>
      <c r="M8" s="171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171"/>
      <c r="O8" s="172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173" t="s">
        <v>61</v>
      </c>
      <c r="D9" s="173"/>
      <c r="E9" s="173"/>
      <c r="F9" s="174"/>
      <c r="G9" s="282"/>
      <c r="H9" s="234"/>
      <c r="I9" s="237"/>
      <c r="J9" s="188"/>
      <c r="K9" s="170"/>
      <c r="L9" s="175" t="s">
        <v>62</v>
      </c>
      <c r="M9" s="178"/>
      <c r="N9" s="178"/>
      <c r="O9" s="179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180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0"/>
      <c r="E10" s="180"/>
      <c r="F10" s="181"/>
      <c r="G10" s="282"/>
      <c r="H10" s="234"/>
      <c r="I10" s="237"/>
      <c r="J10" s="188"/>
      <c r="K10" s="170"/>
      <c r="L10" s="176"/>
      <c r="M10" s="178"/>
      <c r="N10" s="178"/>
      <c r="O10" s="179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182"/>
      <c r="D11" s="182"/>
      <c r="E11" s="182"/>
      <c r="F11" s="183"/>
      <c r="G11" s="282"/>
      <c r="H11" s="234"/>
      <c r="I11" s="238"/>
      <c r="J11" s="188"/>
      <c r="K11" s="170"/>
      <c r="L11" s="177"/>
      <c r="M11" s="178"/>
      <c r="N11" s="178"/>
      <c r="O11" s="179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285"/>
      <c r="B12" s="230">
        <v>2</v>
      </c>
      <c r="C12" s="286" t="str">
        <f>IF(ISBLANK($G$12),"โปรดเลือกสมรรถนะที่ต้องการประเมิน",$G$12)</f>
        <v>SQL Syntax (Basic)</v>
      </c>
      <c r="D12" s="286"/>
      <c r="E12" s="286"/>
      <c r="F12" s="287"/>
      <c r="G12" s="282" t="s">
        <v>254</v>
      </c>
      <c r="H12" s="234"/>
      <c r="I12" s="236">
        <v>2</v>
      </c>
      <c r="J12" s="188"/>
      <c r="K12" s="170" t="str">
        <f>IF($J$12="","ระบุคะแนน",IF($J$12&lt;$I$12,"Below",IF($J$12=$I$12,"Meet","Exceed")))</f>
        <v>ระบุคะแนน</v>
      </c>
      <c r="L12" s="61" t="s">
        <v>57</v>
      </c>
      <c r="M12" s="171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171"/>
      <c r="O12" s="172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189" t="s">
        <v>61</v>
      </c>
      <c r="D13" s="189"/>
      <c r="E13" s="189"/>
      <c r="F13" s="190"/>
      <c r="G13" s="282"/>
      <c r="H13" s="234"/>
      <c r="I13" s="237"/>
      <c r="J13" s="188"/>
      <c r="K13" s="170"/>
      <c r="L13" s="175" t="s">
        <v>62</v>
      </c>
      <c r="M13" s="178"/>
      <c r="N13" s="178"/>
      <c r="O13" s="179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180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0"/>
      <c r="E14" s="180"/>
      <c r="F14" s="181"/>
      <c r="G14" s="282"/>
      <c r="H14" s="234"/>
      <c r="I14" s="237"/>
      <c r="J14" s="188"/>
      <c r="K14" s="170"/>
      <c r="L14" s="176"/>
      <c r="M14" s="178"/>
      <c r="N14" s="178"/>
      <c r="O14" s="179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182"/>
      <c r="D15" s="182"/>
      <c r="E15" s="182"/>
      <c r="F15" s="183"/>
      <c r="G15" s="282"/>
      <c r="H15" s="234"/>
      <c r="I15" s="238"/>
      <c r="J15" s="188"/>
      <c r="K15" s="170"/>
      <c r="L15" s="177"/>
      <c r="M15" s="186"/>
      <c r="N15" s="186"/>
      <c r="O15" s="18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232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232"/>
      <c r="E16" s="232"/>
      <c r="F16" s="233"/>
      <c r="G16" s="234" t="s">
        <v>53</v>
      </c>
      <c r="H16" s="234"/>
      <c r="I16" s="236">
        <v>2</v>
      </c>
      <c r="J16" s="188"/>
      <c r="K16" s="170" t="str">
        <f>IF($J$16="","ระบุคะแนน",IF($J$16&lt;$I$16,"Below",IF($J$16=$I$16,"Meet","Exceed")))</f>
        <v>ระบุคะแนน</v>
      </c>
      <c r="L16" s="66" t="s">
        <v>57</v>
      </c>
      <c r="M16" s="195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195"/>
      <c r="O16" s="19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189" t="s">
        <v>61</v>
      </c>
      <c r="D17" s="189"/>
      <c r="E17" s="189"/>
      <c r="F17" s="190"/>
      <c r="G17" s="234"/>
      <c r="H17" s="234"/>
      <c r="I17" s="237"/>
      <c r="J17" s="188"/>
      <c r="K17" s="170"/>
      <c r="L17" s="175" t="s">
        <v>62</v>
      </c>
      <c r="M17" s="178"/>
      <c r="N17" s="178"/>
      <c r="O17" s="179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191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191"/>
      <c r="E18" s="191"/>
      <c r="F18" s="192"/>
      <c r="G18" s="234"/>
      <c r="H18" s="234"/>
      <c r="I18" s="237"/>
      <c r="J18" s="188"/>
      <c r="K18" s="170"/>
      <c r="L18" s="176"/>
      <c r="M18" s="178"/>
      <c r="N18" s="178"/>
      <c r="O18" s="179"/>
      <c r="P18" s="3"/>
      <c r="T18" s="24"/>
      <c r="Y18" s="22"/>
      <c r="AB18" s="29"/>
      <c r="AC18" s="29"/>
    </row>
    <row r="19" spans="1:30" ht="40.9" customHeight="1" x14ac:dyDescent="0.25">
      <c r="A19" s="285"/>
      <c r="B19" s="231"/>
      <c r="C19" s="193"/>
      <c r="D19" s="193"/>
      <c r="E19" s="193"/>
      <c r="F19" s="194"/>
      <c r="G19" s="234"/>
      <c r="H19" s="234"/>
      <c r="I19" s="238"/>
      <c r="J19" s="188"/>
      <c r="K19" s="170"/>
      <c r="L19" s="177"/>
      <c r="M19" s="186"/>
      <c r="N19" s="186"/>
      <c r="O19" s="18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232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232"/>
      <c r="E20" s="232"/>
      <c r="F20" s="233"/>
      <c r="G20" s="283" t="s">
        <v>212</v>
      </c>
      <c r="H20" s="284"/>
      <c r="I20" s="236">
        <v>2</v>
      </c>
      <c r="J20" s="188"/>
      <c r="K20" s="170" t="str">
        <f>IF($J$20="","ระบุคะแนน",IF($J$20&lt;$I$20,"Below",IF($J$20=$I$20,"Meet","Exceed")))</f>
        <v>ระบุคะแนน</v>
      </c>
      <c r="L20" s="66" t="s">
        <v>57</v>
      </c>
      <c r="M20" s="171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171"/>
      <c r="O20" s="172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189" t="s">
        <v>61</v>
      </c>
      <c r="D21" s="189"/>
      <c r="E21" s="189"/>
      <c r="F21" s="190"/>
      <c r="G21" s="283"/>
      <c r="H21" s="284"/>
      <c r="I21" s="237"/>
      <c r="J21" s="188"/>
      <c r="K21" s="170"/>
      <c r="L21" s="175" t="s">
        <v>62</v>
      </c>
      <c r="M21" s="178"/>
      <c r="N21" s="178"/>
      <c r="O21" s="179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191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191"/>
      <c r="E22" s="191"/>
      <c r="F22" s="192"/>
      <c r="G22" s="283"/>
      <c r="H22" s="284"/>
      <c r="I22" s="237"/>
      <c r="J22" s="188"/>
      <c r="K22" s="170"/>
      <c r="L22" s="176"/>
      <c r="M22" s="178"/>
      <c r="N22" s="178"/>
      <c r="O22" s="179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193"/>
      <c r="D23" s="193"/>
      <c r="E23" s="193"/>
      <c r="F23" s="194"/>
      <c r="G23" s="283"/>
      <c r="H23" s="284"/>
      <c r="I23" s="238"/>
      <c r="J23" s="188"/>
      <c r="K23" s="170"/>
      <c r="L23" s="177"/>
      <c r="M23" s="186"/>
      <c r="N23" s="186"/>
      <c r="O23" s="187"/>
      <c r="P23" s="3"/>
      <c r="T23" s="24"/>
      <c r="Y23" s="22"/>
      <c r="AB23" s="29"/>
      <c r="AC23" s="35"/>
    </row>
    <row r="24" spans="1:30" ht="39.6" customHeight="1" x14ac:dyDescent="0.25">
      <c r="A24" s="244"/>
      <c r="B24" s="230">
        <v>5</v>
      </c>
      <c r="C24" s="232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232"/>
      <c r="E24" s="232"/>
      <c r="F24" s="233"/>
      <c r="G24" s="282" t="s">
        <v>82</v>
      </c>
      <c r="H24" s="234"/>
      <c r="I24" s="236">
        <v>2</v>
      </c>
      <c r="J24" s="188"/>
      <c r="K24" s="170" t="str">
        <f>IF($J$24="","ระบุคะแนน",IF($J$24&lt;$I$24,"Below",IF($J$24=$I$24,"Meet","Exceed")))</f>
        <v>ระบุคะแนน</v>
      </c>
      <c r="L24" s="66" t="s">
        <v>57</v>
      </c>
      <c r="M24" s="239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39"/>
      <c r="O24" s="240"/>
      <c r="P24" s="3"/>
    </row>
    <row r="25" spans="1:30" ht="34.9" customHeight="1" x14ac:dyDescent="0.25">
      <c r="A25" s="244"/>
      <c r="B25" s="231"/>
      <c r="C25" s="241" t="s">
        <v>61</v>
      </c>
      <c r="D25" s="241"/>
      <c r="E25" s="241"/>
      <c r="F25" s="242"/>
      <c r="G25" s="282"/>
      <c r="H25" s="234"/>
      <c r="I25" s="237"/>
      <c r="J25" s="188"/>
      <c r="K25" s="170"/>
      <c r="L25" s="175" t="s">
        <v>62</v>
      </c>
      <c r="M25" s="178"/>
      <c r="N25" s="178"/>
      <c r="O25" s="179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191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191"/>
      <c r="E26" s="191"/>
      <c r="F26" s="192"/>
      <c r="G26" s="282"/>
      <c r="H26" s="234"/>
      <c r="I26" s="237"/>
      <c r="J26" s="188"/>
      <c r="K26" s="170"/>
      <c r="L26" s="176"/>
      <c r="M26" s="178"/>
      <c r="N26" s="178"/>
      <c r="O26" s="179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43"/>
      <c r="AB26" s="243"/>
      <c r="AC26" s="243"/>
      <c r="AD26" s="226"/>
    </row>
    <row r="27" spans="1:30" ht="42.6" customHeight="1" x14ac:dyDescent="0.5">
      <c r="A27" s="244"/>
      <c r="B27" s="231"/>
      <c r="C27" s="193"/>
      <c r="D27" s="193"/>
      <c r="E27" s="193"/>
      <c r="F27" s="194"/>
      <c r="G27" s="282"/>
      <c r="H27" s="234"/>
      <c r="I27" s="238"/>
      <c r="J27" s="188"/>
      <c r="K27" s="170"/>
      <c r="L27" s="177"/>
      <c r="M27" s="186"/>
      <c r="N27" s="186"/>
      <c r="O27" s="187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232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232"/>
      <c r="E28" s="232"/>
      <c r="F28" s="233"/>
      <c r="G28" s="234" t="s">
        <v>41</v>
      </c>
      <c r="H28" s="234"/>
      <c r="I28" s="236">
        <v>2</v>
      </c>
      <c r="J28" s="188"/>
      <c r="K28" s="170" t="str">
        <f>IF($J$28="","ระบุคะแนน",IF($J$28&lt;$I$28,"Below",IF($J$28=$I$28,"Meet","Exceed")))</f>
        <v>ระบุคะแนน</v>
      </c>
      <c r="L28" s="66" t="s">
        <v>57</v>
      </c>
      <c r="M28" s="171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171"/>
      <c r="O28" s="172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241" t="s">
        <v>61</v>
      </c>
      <c r="D29" s="241"/>
      <c r="E29" s="241"/>
      <c r="F29" s="242"/>
      <c r="G29" s="234"/>
      <c r="H29" s="234"/>
      <c r="I29" s="237"/>
      <c r="J29" s="188"/>
      <c r="K29" s="170"/>
      <c r="L29" s="175" t="s">
        <v>62</v>
      </c>
      <c r="M29" s="178"/>
      <c r="N29" s="178"/>
      <c r="O29" s="179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191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191"/>
      <c r="E30" s="191"/>
      <c r="F30" s="192"/>
      <c r="G30" s="235"/>
      <c r="H30" s="235"/>
      <c r="I30" s="237"/>
      <c r="J30" s="188"/>
      <c r="K30" s="170"/>
      <c r="L30" s="176"/>
      <c r="M30" s="178"/>
      <c r="N30" s="178"/>
      <c r="O30" s="179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193"/>
      <c r="D31" s="193"/>
      <c r="E31" s="193"/>
      <c r="F31" s="194"/>
      <c r="G31" s="234"/>
      <c r="H31" s="234"/>
      <c r="I31" s="238"/>
      <c r="J31" s="188"/>
      <c r="K31" s="170"/>
      <c r="L31" s="177"/>
      <c r="M31" s="186"/>
      <c r="N31" s="186"/>
      <c r="O31" s="187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232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232"/>
      <c r="E32" s="232"/>
      <c r="F32" s="233"/>
      <c r="G32" s="234" t="s">
        <v>85</v>
      </c>
      <c r="H32" s="234"/>
      <c r="I32" s="236">
        <v>2</v>
      </c>
      <c r="J32" s="188"/>
      <c r="K32" s="170" t="str">
        <f>IF($J$32="","ระบุคะแนน",IF($J$32&lt;$I$32,"Below",IF($J$32=$I$32,"Meet","Exceed")))</f>
        <v>ระบุคะแนน</v>
      </c>
      <c r="L32" s="66" t="s">
        <v>57</v>
      </c>
      <c r="M32" s="171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171"/>
      <c r="O32" s="172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173" t="s">
        <v>61</v>
      </c>
      <c r="D33" s="173"/>
      <c r="E33" s="173"/>
      <c r="F33" s="174"/>
      <c r="G33" s="234"/>
      <c r="H33" s="234"/>
      <c r="I33" s="237"/>
      <c r="J33" s="188"/>
      <c r="K33" s="170"/>
      <c r="L33" s="175" t="s">
        <v>62</v>
      </c>
      <c r="M33" s="178"/>
      <c r="N33" s="178"/>
      <c r="O33" s="179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191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191"/>
      <c r="E34" s="191"/>
      <c r="F34" s="192"/>
      <c r="G34" s="235"/>
      <c r="H34" s="235"/>
      <c r="I34" s="237"/>
      <c r="J34" s="188"/>
      <c r="K34" s="170"/>
      <c r="L34" s="176"/>
      <c r="M34" s="178"/>
      <c r="N34" s="178"/>
      <c r="O34" s="179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193"/>
      <c r="D35" s="193"/>
      <c r="E35" s="193"/>
      <c r="F35" s="194"/>
      <c r="G35" s="234"/>
      <c r="H35" s="234"/>
      <c r="I35" s="238"/>
      <c r="J35" s="188"/>
      <c r="K35" s="170"/>
      <c r="L35" s="177"/>
      <c r="M35" s="186"/>
      <c r="N35" s="186"/>
      <c r="O35" s="18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58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43"/>
      <c r="AB37" s="243"/>
      <c r="AC37" s="226"/>
    </row>
    <row r="38" spans="1:30" ht="34.9" customHeight="1" x14ac:dyDescent="0.25">
      <c r="A38" s="245"/>
      <c r="B38" s="246"/>
      <c r="C38" s="246"/>
      <c r="D38" s="246"/>
      <c r="E38" s="246"/>
      <c r="F38" s="246"/>
      <c r="G38" s="246"/>
      <c r="H38" s="8"/>
      <c r="I38" s="8"/>
      <c r="J38" s="246"/>
      <c r="K38" s="246"/>
      <c r="L38" s="246"/>
      <c r="M38" s="246"/>
      <c r="N38" s="246"/>
      <c r="O38" s="249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34.9" customHeight="1" x14ac:dyDescent="0.5">
      <c r="A39" s="247"/>
      <c r="B39" s="248"/>
      <c r="C39" s="248"/>
      <c r="D39" s="248"/>
      <c r="E39" s="248"/>
      <c r="F39" s="248"/>
      <c r="G39" s="248"/>
      <c r="H39" s="8"/>
      <c r="I39" s="8"/>
      <c r="J39" s="248"/>
      <c r="K39" s="248"/>
      <c r="L39" s="248"/>
      <c r="M39" s="248"/>
      <c r="N39" s="248"/>
      <c r="O39" s="250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43"/>
      <c r="AB39" s="243"/>
      <c r="AC39" s="22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43"/>
      <c r="AB41" s="243"/>
      <c r="AC41" s="226"/>
    </row>
    <row r="42" spans="1:30" ht="34.9" customHeight="1" x14ac:dyDescent="0.7">
      <c r="A42" s="251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34.9" customHeight="1" x14ac:dyDescent="0.5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43"/>
      <c r="AB43" s="243"/>
      <c r="AC43" s="226"/>
    </row>
    <row r="44" spans="1:30" ht="34.9" customHeight="1" x14ac:dyDescent="0.5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3"/>
      <c r="W46" s="63"/>
      <c r="X46" s="118">
        <v>3</v>
      </c>
    </row>
    <row r="47" spans="1:30" ht="34.9" customHeight="1" x14ac:dyDescent="0.5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197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199" t="s">
        <v>110</v>
      </c>
      <c r="B50" s="200"/>
      <c r="C50" s="200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54"/>
      <c r="C51" s="255"/>
      <c r="D51" s="119" t="s">
        <v>10</v>
      </c>
      <c r="E51" s="278"/>
      <c r="F51" s="280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184"/>
      <c r="L51" s="184"/>
      <c r="M51" s="184"/>
      <c r="N51" s="184"/>
      <c r="O51" s="185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56"/>
      <c r="C52" s="257"/>
      <c r="D52" s="116" t="s">
        <v>118</v>
      </c>
      <c r="E52" s="279"/>
      <c r="F52" s="281"/>
      <c r="G52" s="146"/>
      <c r="H52" s="156" t="b">
        <v>0</v>
      </c>
      <c r="I52" s="19" t="s">
        <v>119</v>
      </c>
      <c r="J52" s="3"/>
      <c r="K52" s="184"/>
      <c r="L52" s="184"/>
      <c r="M52" s="184"/>
      <c r="N52" s="184"/>
      <c r="O52" s="185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66"/>
      <c r="C53" s="267"/>
      <c r="D53" s="113" t="s">
        <v>13</v>
      </c>
      <c r="E53" s="262"/>
      <c r="F53" s="264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184"/>
      <c r="L53" s="184"/>
      <c r="M53" s="184"/>
      <c r="N53" s="184"/>
      <c r="O53" s="185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68"/>
      <c r="C54" s="269"/>
      <c r="D54" s="116" t="s">
        <v>123</v>
      </c>
      <c r="E54" s="263"/>
      <c r="F54" s="265"/>
      <c r="G54" s="148"/>
      <c r="H54" s="149"/>
      <c r="I54" s="148"/>
      <c r="J54" s="3"/>
      <c r="K54" s="184"/>
      <c r="L54" s="184"/>
      <c r="M54" s="184"/>
      <c r="N54" s="184"/>
      <c r="O54" s="185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70"/>
      <c r="C55" s="271"/>
      <c r="D55" s="113" t="s">
        <v>16</v>
      </c>
      <c r="E55" s="262"/>
      <c r="F55" s="264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184"/>
      <c r="L55" s="184"/>
      <c r="M55" s="184"/>
      <c r="N55" s="184"/>
      <c r="O55" s="185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72"/>
      <c r="C56" s="273"/>
      <c r="D56" s="112" t="s">
        <v>127</v>
      </c>
      <c r="E56" s="263"/>
      <c r="F56" s="265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74"/>
      <c r="B57" s="275"/>
      <c r="C57" s="275"/>
      <c r="D57" s="54"/>
      <c r="E57" s="54"/>
      <c r="F57" s="54"/>
      <c r="G57" s="2"/>
      <c r="H57" s="155" t="s">
        <v>120</v>
      </c>
      <c r="I57" s="276"/>
      <c r="J57" s="276"/>
      <c r="K57" s="276"/>
      <c r="L57" s="276"/>
      <c r="M57" s="151" t="s">
        <v>128</v>
      </c>
      <c r="N57" s="276"/>
      <c r="O57" s="277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76"/>
      <c r="J59" s="276"/>
      <c r="K59" s="276"/>
      <c r="L59" s="276"/>
      <c r="M59" s="151" t="s">
        <v>129</v>
      </c>
      <c r="N59" s="276"/>
      <c r="O59" s="277"/>
      <c r="P59" s="3"/>
      <c r="W59" s="79"/>
    </row>
    <row r="60" spans="1:24" ht="34.9" customHeight="1" x14ac:dyDescent="0.7">
      <c r="A60" s="251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3"/>
      <c r="W61" s="79"/>
    </row>
    <row r="62" spans="1:24" ht="34.9" customHeight="1" x14ac:dyDescent="0.25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3"/>
      <c r="W62" s="79"/>
    </row>
    <row r="63" spans="1:24" ht="34.9" customHeight="1" x14ac:dyDescent="0.25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3"/>
      <c r="W63" s="79"/>
    </row>
    <row r="64" spans="1:24" ht="34.9" customHeight="1" x14ac:dyDescent="0.25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3"/>
    </row>
    <row r="65" spans="1:34" ht="34.9" customHeight="1" x14ac:dyDescent="0.2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2026-03-06T11:09:31Z</dcterms:modified>
  <cp:category/>
  <cp:contentStatus/>
</cp:coreProperties>
</file>
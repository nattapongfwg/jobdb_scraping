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89F51BA6-27D9-4EB4-A2AF-D91E1D9AB050}" xr6:coauthVersionLast="47" xr6:coauthVersionMax="47" xr10:uidLastSave="{00000000-0000-0000-0000-000000000000}"/>
  <bookViews>
    <workbookView xWindow="-120" yWindow="-120" windowWidth="29040" windowHeight="1572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<sst xmlns="http://schemas.openxmlformats.org/spreadsheetml/2006/main" count="779" uniqueCount="279">
  <si>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</si>
  <si>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</si>
  <si>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</si>
  <si>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</si>
  <si>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</si>
  <si>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</si>
  <si>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</si>
  <si>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</si>
  <si>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</si>
  <si>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</si>
  <si>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</si>
  <si>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</si>
  <si>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</si>
  <si>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</si>
  <si>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</si>
  <si>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</si>
  <si>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</si>
  <si>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</si>
  <si>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</si>
  <si>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</si>
  <si>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</si>
  <si>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</si>
  <si>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</si>
  <si>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</si>
  <si>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</si>
  <si>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</si>
  <si>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</si>
  <si>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</si>
  <si>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</si>
  <si>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</si>
  <si>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</si>
  <si>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</si>
  <si>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</si>
  <si>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</si>
  <si>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</si>
  <si>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</si>
  <si>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</si>
  <si>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</si>
  <si>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</si>
  <si>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</si>
  <si>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</si>
  <si>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</si>
  <si>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</si>
  <si>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</si>
  <si>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</si>
  <si>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</si>
  <si>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</si>
  <si>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</si>
  <si>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</si>
  <si>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</si>
  <si>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</si>
  <si>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</si>
  <si>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</si>
  <si>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</si>
  <si>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</si>
  <si>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</si>
  <si>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</si>
  <si>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</si>
  <si>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</si>
  <si>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</si>
  <si>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</si>
  <si>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</si>
  <si>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</si>
  <si>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</si>
  <si>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</si>
  <si>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</si>
  <si>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</si>
  <si>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</si>
  <si>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</si>
  <si>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</si>
  <si>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</si>
  <si>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</si>
  <si>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</si>
  <si>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</si>
  <si>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</si>
  <si>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</si>
  <si>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</si>
  <si>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</si>
  <si>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</si>
  <si>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</si>
  <si>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</si>
  <si>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</si>
  <si>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</si>
  <si>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</si>
  <si>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</si>
  <si>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</si>
  <si>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</si>
  <si>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</si>
  <si>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</si>
  <si>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</si>
  <si>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</si>
  <si>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</si>
  <si>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</si>
  <si>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</si>
  <si>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</si>
  <si>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</si>
  <si>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</si>
  <si>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</si>
  <si>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</si>
  <si>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</si>
  <si>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</si>
  <si>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</si>
  <si>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</si>
  <si>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</si>
  <si>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</si>
  <si>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</si>
  <si>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</si>
  <si>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</si>
  <si>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</si>
  <si>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</si>
  <si>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</si>
  <si>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</si>
  <si>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</si>
  <si>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</si>
  <si>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</si>
  <si>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</si>
  <si>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</si>
  <si>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</si>
  <si>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</si>
  <si>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</si>
  <si>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</si>
  <si>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</si>
  <si>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</si>
  <si>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</si>
  <si>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</si>
  <si>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</si>
  <si>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</si>
  <si>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</si>
  <si>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</si>
  <si>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</si>
  <si>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</si>
  <si>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</si>
  <si>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</si>
  <si>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</si>
  <si>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</si>
  <si>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</si>
  <si>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</si>
  <si>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</si>
  <si>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</si>
  <si>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</si>
  <si>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</si>
  <si>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</si>
  <si>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</si>
  <si>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</si>
  <si>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</si>
  <si>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</si>
  <si>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</si>
  <si>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</si>
  <si>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</si>
  <si>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</si>
  <si>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</si>
  <si>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</si>
  <si>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</si>
  <si>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</si>
  <si>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</si>
  <si>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</si>
  <si>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</si>
  <si>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</si>
  <si>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</si>
  <si>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</si>
  <si>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</si>
  <si>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</si>
  <si>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</si>
  <si>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</si>
  <si>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</si>
  <si>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</si>
  <si>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</si>
  <si>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</si>
  <si>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</si>
  <si>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</si>
  <si>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</si>
  <si>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</si>
  <si>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</si>
  <si>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</si>
  <si>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</si>
  <si>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</si>
  <si>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</si>
  <si>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</si>
  <si>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</si>
  <si>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</si>
  <si>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</si>
  <si>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</si>
  <si>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</si>
  <si>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</si>
  <si>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</si>
  <si>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</si>
  <si>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</si>
  <si>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</si>
  <si>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</si>
  <si>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</si>
  <si>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</si>
  <si>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</si>
  <si>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</si>
  <si>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</si>
  <si>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</si>
  <si>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</si>
  <si>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</si>
  <si>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</si>
  <si>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</si>
  <si>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</si>
  <si>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</si>
  <si>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</si>
  <si>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</si>
  <si>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</si>
  <si>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</si>
  <si>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</si>
  <si>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</si>
  <si>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</si>
  <si>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</si>
  <si>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</si>
  <si>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</si>
  <si>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</si>
  <si>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</si>
  <si>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</si>
  <si>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</si>
  <si>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</si>
  <si>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</si>
  <si>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</si>
  <si>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</si>
  <si>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</si>
  <si>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</si>
  <si>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</si>
  <si>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</si>
  <si>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</si>
  <si>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</si>
  <si>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</si>
  <si>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</si>
  <si>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</si>
  <si>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</si>
  <si>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</si>
  <si>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</si>
  <si>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</si>
  <si>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</si>
  <si>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</si>
  <si>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</si>
  <si>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</si>
  <si>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</si>
  <si>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</si>
  <si>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</si>
  <si>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</si>
  <si>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</si>
  <si>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</si>
  <si>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</si>
  <si>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</si>
  <si>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</si>
  <si>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</si>
  <si>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</si>
  <si>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</si>
  <si>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</si>
  <si>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</si>
  <si>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</si>
  <si>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</si>
  <si>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</si>
  <si>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</si>
  <si>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</si>
  <si>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</si>
  <si>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</si>
  <si>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</si>
  <si>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</si>
  <si>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</si>
  <si>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</si>
  <si>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</si>
  <si>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</si>
  <si>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</si>
  <si>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</si>
  <si>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</si>
  <si>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</si>
  <si>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</si>
  <si>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</si>
  <si>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</si>
  <si>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</si>
  <si>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</si>
  <si>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</si>
  <si>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</si>
  <si>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</si>
  <si>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Mr. Nuttanon Promthasong</t>
  </si>
  <si>
    <t>SEC</t>
  </si>
  <si>
    <t>LOL</t>
  </si>
  <si>
    <t>Parnicha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</si>
</sst>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8" fillId="6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53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5"/>
      <c r="P1" s="5"/>
    </row>
    <row r="2" spans="1:29" ht="25.15" customHeight="1" x14ac:dyDescent="0.25">
      <c r="A2" s="75" t="s">
        <v>1</v>
      </c>
      <c r="B2" s="361" t="inlineStr">
        <is>
          <t xml:space="preserve">Mr. AAA BBB</t>
        </is>
      </c>
      <c r="C2" s="359"/>
      <c r="D2" s="359"/>
      <c r="E2" s="359"/>
      <c r="F2" s="360"/>
      <c r="G2" s="262" t="s">
        <v>2</v>
      </c>
      <c r="H2" s="263"/>
      <c r="I2" s="359" t="inlineStr">
        <is>
          <t xml:space="preserve">Support Officer</t>
        </is>
      </c>
      <c r="J2" s="359"/>
      <c r="K2" s="360"/>
      <c r="L2" s="262" t="s">
        <v>3</v>
      </c>
      <c r="M2" s="263"/>
      <c r="N2" s="357" t="inlineStr">
        <is>
          <t xml:space="preserve">Software Implementer &amp; SSA1</t>
        </is>
      </c>
      <c r="O2" s="358"/>
      <c r="P2" s="3"/>
    </row>
    <row r="3" spans="1:29" ht="25.15" customHeight="1" x14ac:dyDescent="0.25">
      <c r="A3" s="76" t="s">
        <v>4</v>
      </c>
      <c r="B3" s="361" t="inlineStr">
        <is>
          <t xml:space="preserve">Freewill Solutions Co.,Ltd.</t>
        </is>
      </c>
      <c r="C3" s="359"/>
      <c r="D3" s="359"/>
      <c r="E3" s="359"/>
      <c r="F3" s="360"/>
      <c r="G3" s="262" t="s">
        <v>5</v>
      </c>
      <c r="H3" s="263"/>
      <c r="I3" s="359" t="inlineStr">
        <is>
          <t xml:space="preserve">CC</t>
        </is>
      </c>
      <c r="J3" s="359"/>
      <c r="K3" s="360"/>
      <c r="L3" s="262" t="s">
        <v>6</v>
      </c>
      <c r="M3" s="263"/>
      <c r="N3" s="359" t="inlineStr">
        <is>
          <t xml:space="preserve">DEVELOP</t>
        </is>
      </c>
      <c r="O3" s="360"/>
      <c r="P3" s="3"/>
    </row>
    <row r="4" spans="1:29" ht="25.15" customHeight="1" x14ac:dyDescent="0.25">
      <c r="A4" s="77" t="s">
        <v>7</v>
      </c>
      <c r="B4" s="361" t="inlineStr">
        <is>
          <t xml:space="preserve">2026-06-09</t>
        </is>
      </c>
      <c r="C4" s="359"/>
      <c r="D4" s="359"/>
      <c r="E4" s="359"/>
      <c r="F4" s="360"/>
      <c r="G4" s="262" t="s">
        <v>8</v>
      </c>
      <c r="H4" s="263"/>
      <c r="I4" s="359" t="inlineStr">
        <is>
          <t xml:space="preserve">Sasuke</t>
        </is>
      </c>
      <c r="J4" s="359"/>
      <c r="K4" s="360"/>
      <c r="L4" s="262" t="s">
        <v>9</v>
      </c>
      <c r="M4" s="263"/>
      <c r="N4" s="357" t="inlineStr">
        <is>
          <t xml:space="preserve">Nattapong11</t>
        </is>
      </c>
      <c r="O4" s="358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56" t="s">
        <v>20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9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65" t="s">
        <v>29</v>
      </c>
      <c r="C6" s="266"/>
      <c r="D6" s="266"/>
      <c r="E6" s="266"/>
      <c r="F6" s="267"/>
      <c r="G6" s="272" t="s">
        <v>30</v>
      </c>
      <c r="H6" s="273"/>
      <c r="I6" s="101" t="s">
        <v>31</v>
      </c>
      <c r="J6" s="102" t="s">
        <v>32</v>
      </c>
      <c r="K6" s="102" t="s">
        <v>33</v>
      </c>
      <c r="L6" s="274" t="s">
        <v>34</v>
      </c>
      <c r="M6" s="275"/>
      <c r="N6" s="275"/>
      <c r="O6" s="276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68"/>
      <c r="C7" s="269"/>
      <c r="D7" s="269"/>
      <c r="E7" s="269"/>
      <c r="F7" s="270"/>
      <c r="G7" s="277" t="s">
        <v>45</v>
      </c>
      <c r="H7" s="278"/>
      <c r="I7" s="105" t="s">
        <v>46</v>
      </c>
      <c r="J7" s="104" t="s">
        <v>47</v>
      </c>
      <c r="K7" s="104" t="s">
        <v>48</v>
      </c>
      <c r="L7" s="268" t="s">
        <v>49</v>
      </c>
      <c r="M7" s="269"/>
      <c r="N7" s="269"/>
      <c r="O7" s="270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170" t="s">
        <v>56</v>
      </c>
      <c r="B8" s="171">
        <v>1</v>
      </c>
      <c r="C8" s="362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62"/>
      <c r="E8" s="362"/>
      <c r="F8" s="363"/>
      <c r="G8" s="372" t="s">
        <v>35</v>
      </c>
      <c r="H8" s="294"/>
      <c r="I8" s="330">
        <v>2</v>
      </c>
      <c r="J8" s="289">
        <v>2</v>
      </c>
      <c r="K8" s="374" t="str">
        <f>IF($J$8="","ระบุ",IF($J$8&lt;$I$8,"Below",IF($J$8=$I$8,"Meet","Exceed")))</f>
        <v>Meet</v>
      </c>
      <c r="L8" s="66" t="s">
        <v>57</v>
      </c>
      <c r="M8" s="315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315"/>
      <c r="O8" s="316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170"/>
      <c r="B9" s="172"/>
      <c r="C9" s="321" t="s">
        <v>61</v>
      </c>
      <c r="D9" s="321"/>
      <c r="E9" s="321"/>
      <c r="F9" s="322"/>
      <c r="G9" s="372"/>
      <c r="H9" s="294"/>
      <c r="I9" s="331"/>
      <c r="J9" s="289"/>
      <c r="K9" s="374"/>
      <c r="L9" s="228" t="s">
        <v>62</v>
      </c>
      <c r="M9" s="311"/>
      <c r="N9" s="311"/>
      <c r="O9" s="312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170"/>
      <c r="B10" s="172"/>
      <c r="C10" s="368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68"/>
      <c r="E10" s="368"/>
      <c r="F10" s="369"/>
      <c r="G10" s="372"/>
      <c r="H10" s="294"/>
      <c r="I10" s="331"/>
      <c r="J10" s="289"/>
      <c r="K10" s="374"/>
      <c r="L10" s="229"/>
      <c r="M10" s="311"/>
      <c r="N10" s="311"/>
      <c r="O10" s="312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170"/>
      <c r="B11" s="172"/>
      <c r="C11" s="370"/>
      <c r="D11" s="370"/>
      <c r="E11" s="370"/>
      <c r="F11" s="371"/>
      <c r="G11" s="372"/>
      <c r="H11" s="294"/>
      <c r="I11" s="332"/>
      <c r="J11" s="289"/>
      <c r="K11" s="374"/>
      <c r="L11" s="230"/>
      <c r="M11" s="311"/>
      <c r="N11" s="311"/>
      <c r="O11" s="312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170"/>
      <c r="B12" s="171">
        <v>2</v>
      </c>
      <c r="C12" s="362" t="str">
        <f>IF(ISBLANK($G$12),"โปรดเลือกสมรรถนะที่ต้องการประเมิน",$G$12)</f>
        <v>การแก้ไขปัญหา 
(Problem Solving)</v>
      </c>
      <c r="D12" s="362"/>
      <c r="E12" s="362"/>
      <c r="F12" s="363"/>
      <c r="G12" s="372" t="s">
        <v>38</v>
      </c>
      <c r="H12" s="294"/>
      <c r="I12" s="330">
        <v>3</v>
      </c>
      <c r="J12" s="289">
        <v>3</v>
      </c>
      <c r="K12" s="374" t="str">
        <f>IF($J$12="","ระบุ",IF($J$12&lt;$I$12,"Below",IF($J$12=$I$12,"Meet","Exceed")))</f>
        <v>Meet</v>
      </c>
      <c r="L12" s="61" t="s">
        <v>57</v>
      </c>
      <c r="M12" s="315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315"/>
      <c r="O12" s="316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170"/>
      <c r="B13" s="172"/>
      <c r="C13" s="317" t="s">
        <v>61</v>
      </c>
      <c r="D13" s="317"/>
      <c r="E13" s="317"/>
      <c r="F13" s="318"/>
      <c r="G13" s="372"/>
      <c r="H13" s="294"/>
      <c r="I13" s="331"/>
      <c r="J13" s="289"/>
      <c r="K13" s="374"/>
      <c r="L13" s="228" t="s">
        <v>62</v>
      </c>
      <c r="M13" s="311"/>
      <c r="N13" s="311"/>
      <c r="O13" s="312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170"/>
      <c r="B14" s="172"/>
      <c r="C14" s="368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68"/>
      <c r="E14" s="368"/>
      <c r="F14" s="369"/>
      <c r="G14" s="372"/>
      <c r="H14" s="294"/>
      <c r="I14" s="331"/>
      <c r="J14" s="289"/>
      <c r="K14" s="374"/>
      <c r="L14" s="229"/>
      <c r="M14" s="311"/>
      <c r="N14" s="311"/>
      <c r="O14" s="312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170"/>
      <c r="B15" s="172"/>
      <c r="C15" s="370"/>
      <c r="D15" s="370"/>
      <c r="E15" s="370"/>
      <c r="F15" s="371"/>
      <c r="G15" s="372"/>
      <c r="H15" s="294"/>
      <c r="I15" s="332"/>
      <c r="J15" s="289"/>
      <c r="K15" s="374"/>
      <c r="L15" s="230"/>
      <c r="M15" s="313"/>
      <c r="N15" s="313"/>
      <c r="O15" s="314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170"/>
      <c r="B16" s="171">
        <v>3</v>
      </c>
      <c r="C16" s="364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64"/>
      <c r="E16" s="364"/>
      <c r="F16" s="365"/>
      <c r="G16" s="329" t="s">
        <v>53</v>
      </c>
      <c r="H16" s="329"/>
      <c r="I16" s="330">
        <v>2</v>
      </c>
      <c r="J16" s="289">
        <v>2</v>
      </c>
      <c r="K16" s="374" t="str">
        <f>IF($J$16="","ระบุ",IF($J$16&lt;$I$16,"Below",IF($J$16=$I$16,"Meet","Exceed")))</f>
        <v>Meet</v>
      </c>
      <c r="L16" s="66" t="s">
        <v>57</v>
      </c>
      <c r="M16" s="375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375"/>
      <c r="O16" s="37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170"/>
      <c r="B17" s="172"/>
      <c r="C17" s="317" t="s">
        <v>61</v>
      </c>
      <c r="D17" s="317"/>
      <c r="E17" s="317"/>
      <c r="F17" s="318"/>
      <c r="G17" s="329"/>
      <c r="H17" s="329"/>
      <c r="I17" s="331"/>
      <c r="J17" s="289"/>
      <c r="K17" s="374"/>
      <c r="L17" s="228" t="s">
        <v>62</v>
      </c>
      <c r="M17" s="311"/>
      <c r="N17" s="311"/>
      <c r="O17" s="312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170"/>
      <c r="B18" s="172"/>
      <c r="C18" s="29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290"/>
      <c r="E18" s="290"/>
      <c r="F18" s="291"/>
      <c r="G18" s="329"/>
      <c r="H18" s="329"/>
      <c r="I18" s="331"/>
      <c r="J18" s="289"/>
      <c r="K18" s="374"/>
      <c r="L18" s="229"/>
      <c r="M18" s="311"/>
      <c r="N18" s="311"/>
      <c r="O18" s="312"/>
      <c r="P18" s="3"/>
      <c r="T18" s="24"/>
      <c r="Y18" s="22"/>
      <c r="AB18" s="29"/>
      <c r="AC18" s="29"/>
    </row>
    <row r="19" spans="1:30" ht="34.9" customHeight="1" x14ac:dyDescent="0.25">
      <c r="A19" s="170"/>
      <c r="B19" s="172"/>
      <c r="C19" s="292"/>
      <c r="D19" s="292"/>
      <c r="E19" s="292"/>
      <c r="F19" s="293"/>
      <c r="G19" s="329"/>
      <c r="H19" s="329"/>
      <c r="I19" s="332"/>
      <c r="J19" s="289"/>
      <c r="K19" s="374"/>
      <c r="L19" s="230"/>
      <c r="M19" s="313"/>
      <c r="N19" s="313"/>
      <c r="O19" s="314"/>
      <c r="P19" s="3"/>
      <c r="T19" s="24"/>
      <c r="Y19" s="22"/>
      <c r="AB19" s="29"/>
      <c r="AC19" s="29"/>
    </row>
    <row r="20" spans="1:30" ht="40.15" customHeight="1" x14ac:dyDescent="0.25">
      <c r="A20" s="248" t="s">
        <v>89</v>
      </c>
      <c r="B20" s="171">
        <v>4</v>
      </c>
      <c r="C20" s="364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64"/>
      <c r="E20" s="364"/>
      <c r="F20" s="365"/>
      <c r="G20" s="326" t="s">
        <v>53</v>
      </c>
      <c r="H20" s="327"/>
      <c r="I20" s="330">
        <v>2</v>
      </c>
      <c r="J20" s="289">
        <v>3</v>
      </c>
      <c r="K20" s="374" t="str">
        <f>IF($J$20="","ระบุ",IF($J$20&lt;$I$20,"Below",IF($J$20=$I$20,"Meet","Exceed")))</f>
        <v>Exceed</v>
      </c>
      <c r="L20" s="66" t="s">
        <v>57</v>
      </c>
      <c r="M20" s="315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315"/>
      <c r="O20" s="316"/>
      <c r="P20" s="3"/>
      <c r="T20" s="24"/>
      <c r="Y20" s="22"/>
      <c r="AB20" s="29"/>
      <c r="AC20" s="29"/>
    </row>
    <row r="21" spans="1:30" ht="34.9" customHeight="1" x14ac:dyDescent="0.25">
      <c r="A21" s="255"/>
      <c r="B21" s="172"/>
      <c r="C21" s="317" t="s">
        <v>61</v>
      </c>
      <c r="D21" s="317"/>
      <c r="E21" s="317"/>
      <c r="F21" s="318"/>
      <c r="G21" s="326"/>
      <c r="H21" s="327"/>
      <c r="I21" s="331"/>
      <c r="J21" s="289"/>
      <c r="K21" s="374"/>
      <c r="L21" s="228" t="s">
        <v>62</v>
      </c>
      <c r="M21" s="311"/>
      <c r="N21" s="311"/>
      <c r="O21" s="312"/>
      <c r="P21" s="3"/>
      <c r="T21" s="24"/>
      <c r="Y21" s="22"/>
      <c r="AB21" s="29"/>
      <c r="AC21" s="29"/>
    </row>
    <row r="22" spans="1:30" ht="34.9" customHeight="1" x14ac:dyDescent="0.25">
      <c r="A22" s="255"/>
      <c r="B22" s="172"/>
      <c r="C22" s="29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290"/>
      <c r="E22" s="290"/>
      <c r="F22" s="291"/>
      <c r="G22" s="326"/>
      <c r="H22" s="327"/>
      <c r="I22" s="331"/>
      <c r="J22" s="289"/>
      <c r="K22" s="374"/>
      <c r="L22" s="229"/>
      <c r="M22" s="311"/>
      <c r="N22" s="311"/>
      <c r="O22" s="312"/>
      <c r="P22" s="3"/>
      <c r="T22" s="24"/>
      <c r="W22" s="21"/>
      <c r="Y22" s="22"/>
      <c r="AB22" s="29"/>
      <c r="AC22" s="29"/>
    </row>
    <row r="23" spans="1:30" ht="34.9" customHeight="1" x14ac:dyDescent="0.25">
      <c r="A23" s="255"/>
      <c r="B23" s="172"/>
      <c r="C23" s="292"/>
      <c r="D23" s="292"/>
      <c r="E23" s="292"/>
      <c r="F23" s="293"/>
      <c r="G23" s="326"/>
      <c r="H23" s="327"/>
      <c r="I23" s="332"/>
      <c r="J23" s="289"/>
      <c r="K23" s="374"/>
      <c r="L23" s="230"/>
      <c r="M23" s="313"/>
      <c r="N23" s="313"/>
      <c r="O23" s="314"/>
      <c r="P23" s="3"/>
      <c r="T23" s="24"/>
      <c r="Y23" s="22"/>
      <c r="AB23" s="29"/>
      <c r="AC23" s="35"/>
    </row>
    <row r="24" spans="1:30" ht="40.15" customHeight="1" x14ac:dyDescent="0.25">
      <c r="A24" s="255"/>
      <c r="B24" s="171">
        <v>5</v>
      </c>
      <c r="C24" s="366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66"/>
      <c r="E24" s="366"/>
      <c r="F24" s="367"/>
      <c r="G24" s="328" t="s">
        <v>41</v>
      </c>
      <c r="H24" s="329"/>
      <c r="I24" s="330">
        <v>2</v>
      </c>
      <c r="J24" s="289">
        <v>1</v>
      </c>
      <c r="K24" s="374" t="str">
        <f>IF($J$24="","ระบุ",IF($J$24&lt;$I$24,"Below",IF($J$24=$I$24,"Meet","Exceed")))</f>
        <v>Below</v>
      </c>
      <c r="L24" s="66" t="s">
        <v>57</v>
      </c>
      <c r="M24" s="315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315"/>
      <c r="O24" s="316"/>
      <c r="P24" s="3"/>
    </row>
    <row r="25" spans="1:30" ht="34.9" customHeight="1" x14ac:dyDescent="0.25">
      <c r="A25" s="255"/>
      <c r="B25" s="172"/>
      <c r="C25" s="319" t="s">
        <v>61</v>
      </c>
      <c r="D25" s="319"/>
      <c r="E25" s="319"/>
      <c r="F25" s="320"/>
      <c r="G25" s="328"/>
      <c r="H25" s="329"/>
      <c r="I25" s="331"/>
      <c r="J25" s="289"/>
      <c r="K25" s="374"/>
      <c r="L25" s="228" t="s">
        <v>62</v>
      </c>
      <c r="M25" s="311"/>
      <c r="N25" s="311"/>
      <c r="O25" s="312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55"/>
      <c r="B26" s="172"/>
      <c r="C26" s="29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290"/>
      <c r="E26" s="290"/>
      <c r="F26" s="291"/>
      <c r="G26" s="328"/>
      <c r="H26" s="329"/>
      <c r="I26" s="331"/>
      <c r="J26" s="289"/>
      <c r="K26" s="374"/>
      <c r="L26" s="229"/>
      <c r="M26" s="311"/>
      <c r="N26" s="311"/>
      <c r="O26" s="312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23"/>
      <c r="AB26" s="223"/>
      <c r="AC26" s="223"/>
      <c r="AD26" s="216"/>
    </row>
    <row r="27" spans="1:30" ht="34.9" customHeight="1" x14ac:dyDescent="0.5">
      <c r="A27" s="255"/>
      <c r="B27" s="172"/>
      <c r="C27" s="292"/>
      <c r="D27" s="292"/>
      <c r="E27" s="292"/>
      <c r="F27" s="293"/>
      <c r="G27" s="328"/>
      <c r="H27" s="329"/>
      <c r="I27" s="332"/>
      <c r="J27" s="289"/>
      <c r="K27" s="374"/>
      <c r="L27" s="230"/>
      <c r="M27" s="313"/>
      <c r="N27" s="313"/>
      <c r="O27" s="314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23"/>
      <c r="AB27" s="223"/>
      <c r="AC27" s="223"/>
      <c r="AD27" s="216"/>
    </row>
    <row r="28" spans="1:30" ht="40.15" customHeight="1" x14ac:dyDescent="0.5">
      <c r="A28" s="248" t="s">
        <v>96</v>
      </c>
      <c r="B28" s="171">
        <v>6</v>
      </c>
      <c r="C28" s="366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66"/>
      <c r="E28" s="366"/>
      <c r="F28" s="367"/>
      <c r="G28" s="294" t="s">
        <v>41</v>
      </c>
      <c r="H28" s="294"/>
      <c r="I28" s="330">
        <v>2</v>
      </c>
      <c r="J28" s="289">
        <v>3</v>
      </c>
      <c r="K28" s="374" t="str">
        <f>IF($J$28="","ระบุ",IF($J$28&lt;$I$28,"Below",IF($J$28=$I$28,"Meet","Exceed")))</f>
        <v>Exceed</v>
      </c>
      <c r="L28" s="66" t="s">
        <v>57</v>
      </c>
      <c r="M28" s="315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315"/>
      <c r="O28" s="316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23"/>
      <c r="AB28" s="223"/>
      <c r="AC28" s="223"/>
      <c r="AD28" s="216"/>
    </row>
    <row r="29" spans="1:30" ht="34.9" customHeight="1" x14ac:dyDescent="0.5">
      <c r="A29" s="249"/>
      <c r="B29" s="172"/>
      <c r="C29" s="319" t="s">
        <v>61</v>
      </c>
      <c r="D29" s="319"/>
      <c r="E29" s="319"/>
      <c r="F29" s="320"/>
      <c r="G29" s="294"/>
      <c r="H29" s="294"/>
      <c r="I29" s="331"/>
      <c r="J29" s="289"/>
      <c r="K29" s="374"/>
      <c r="L29" s="228" t="s">
        <v>62</v>
      </c>
      <c r="M29" s="311"/>
      <c r="N29" s="311"/>
      <c r="O29" s="312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23"/>
      <c r="AB29" s="223"/>
      <c r="AC29" s="223"/>
      <c r="AD29" s="216"/>
    </row>
    <row r="30" spans="1:30" ht="34.9" customHeight="1" x14ac:dyDescent="0.5">
      <c r="A30" s="249"/>
      <c r="B30" s="172"/>
      <c r="C30" s="29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290"/>
      <c r="E30" s="290"/>
      <c r="F30" s="291"/>
      <c r="G30" s="295"/>
      <c r="H30" s="295"/>
      <c r="I30" s="331"/>
      <c r="J30" s="289"/>
      <c r="K30" s="374"/>
      <c r="L30" s="229"/>
      <c r="M30" s="311"/>
      <c r="N30" s="311"/>
      <c r="O30" s="312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23"/>
      <c r="AB30" s="223"/>
      <c r="AC30" s="223"/>
      <c r="AD30" s="216"/>
    </row>
    <row r="31" spans="1:30" ht="34.9" customHeight="1" x14ac:dyDescent="0.5">
      <c r="A31" s="249"/>
      <c r="B31" s="172"/>
      <c r="C31" s="292"/>
      <c r="D31" s="292"/>
      <c r="E31" s="292"/>
      <c r="F31" s="293"/>
      <c r="G31" s="294"/>
      <c r="H31" s="294"/>
      <c r="I31" s="332"/>
      <c r="J31" s="289"/>
      <c r="K31" s="374"/>
      <c r="L31" s="230"/>
      <c r="M31" s="313"/>
      <c r="N31" s="313"/>
      <c r="O31" s="314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23"/>
      <c r="AB31" s="223"/>
      <c r="AC31" s="223"/>
      <c r="AD31" s="216"/>
    </row>
    <row r="32" spans="1:30" ht="40.15" customHeight="1" x14ac:dyDescent="0.5">
      <c r="A32" s="249"/>
      <c r="B32" s="171">
        <v>7</v>
      </c>
      <c r="C32" s="366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66"/>
      <c r="E32" s="366"/>
      <c r="F32" s="367"/>
      <c r="G32" s="329" t="s">
        <v>25</v>
      </c>
      <c r="H32" s="329"/>
      <c r="I32" s="330">
        <v>2</v>
      </c>
      <c r="J32" s="289">
        <v>2</v>
      </c>
      <c r="K32" s="374" t="str">
        <f>IF($J$32="","ระบุ",IF($J$32&lt;$I$32,"Below",IF($J$32=$I$32,"Meet","Exceed")))</f>
        <v>Meet</v>
      </c>
      <c r="L32" s="66" t="s">
        <v>57</v>
      </c>
      <c r="M32" s="315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315"/>
      <c r="O32" s="316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23"/>
      <c r="AB32" s="223"/>
      <c r="AC32" s="223"/>
      <c r="AD32" s="216"/>
    </row>
    <row r="33" spans="1:30" ht="34.9" customHeight="1" x14ac:dyDescent="0.5">
      <c r="A33" s="249"/>
      <c r="B33" s="172"/>
      <c r="C33" s="321" t="s">
        <v>61</v>
      </c>
      <c r="D33" s="321"/>
      <c r="E33" s="321"/>
      <c r="F33" s="322"/>
      <c r="G33" s="329"/>
      <c r="H33" s="329"/>
      <c r="I33" s="331"/>
      <c r="J33" s="289"/>
      <c r="K33" s="374"/>
      <c r="L33" s="228" t="s">
        <v>62</v>
      </c>
      <c r="M33" s="311"/>
      <c r="N33" s="311"/>
      <c r="O33" s="312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23"/>
      <c r="AB33" s="223"/>
      <c r="AC33" s="223"/>
      <c r="AD33" s="216"/>
    </row>
    <row r="34" spans="1:30" ht="34.9" customHeight="1" x14ac:dyDescent="0.5">
      <c r="A34" s="250"/>
      <c r="B34" s="172"/>
      <c r="C34" s="29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290"/>
      <c r="E34" s="290"/>
      <c r="F34" s="291"/>
      <c r="G34" s="373"/>
      <c r="H34" s="373"/>
      <c r="I34" s="331"/>
      <c r="J34" s="289"/>
      <c r="K34" s="374"/>
      <c r="L34" s="229"/>
      <c r="M34" s="311"/>
      <c r="N34" s="311"/>
      <c r="O34" s="312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49"/>
      <c r="B35" s="242"/>
      <c r="C35" s="292"/>
      <c r="D35" s="292"/>
      <c r="E35" s="292"/>
      <c r="F35" s="293"/>
      <c r="G35" s="329"/>
      <c r="H35" s="329"/>
      <c r="I35" s="332"/>
      <c r="J35" s="289"/>
      <c r="K35" s="374"/>
      <c r="L35" s="230"/>
      <c r="M35" s="313"/>
      <c r="N35" s="313"/>
      <c r="O35" s="314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23"/>
      <c r="AB36" s="223"/>
      <c r="AC36" s="21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23"/>
      <c r="AB37" s="223"/>
      <c r="AC37" s="216"/>
    </row>
    <row r="38" spans="1:30" ht="23.45" customHeight="1" x14ac:dyDescent="0.25">
      <c r="A38" s="336"/>
      <c r="B38" s="334"/>
      <c r="C38" s="334"/>
      <c r="D38" s="334"/>
      <c r="E38" s="334"/>
      <c r="F38" s="334"/>
      <c r="G38" s="334"/>
      <c r="H38" s="8"/>
      <c r="I38" s="8"/>
      <c r="J38" s="334"/>
      <c r="K38" s="334"/>
      <c r="L38" s="334"/>
      <c r="M38" s="334"/>
      <c r="N38" s="334"/>
      <c r="O38" s="334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23"/>
      <c r="AB38" s="223"/>
      <c r="AC38" s="216"/>
    </row>
    <row r="39" spans="1:30" ht="23.45" customHeight="1" x14ac:dyDescent="0.5">
      <c r="A39" s="337"/>
      <c r="B39" s="335"/>
      <c r="C39" s="335"/>
      <c r="D39" s="335"/>
      <c r="E39" s="335"/>
      <c r="F39" s="335"/>
      <c r="G39" s="335"/>
      <c r="H39" s="8"/>
      <c r="I39" s="8"/>
      <c r="J39" s="335"/>
      <c r="K39" s="335"/>
      <c r="L39" s="335"/>
      <c r="M39" s="335"/>
      <c r="N39" s="335"/>
      <c r="O39" s="335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23"/>
      <c r="AB39" s="223"/>
      <c r="AC39" s="21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23"/>
      <c r="AB40" s="223"/>
      <c r="AC40" s="21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23"/>
      <c r="AB41" s="223"/>
      <c r="AC41" s="216"/>
    </row>
    <row r="42" spans="1:30" ht="34.5" x14ac:dyDescent="0.7">
      <c r="A42" s="198" t="s">
        <v>108</v>
      </c>
      <c r="B42" s="198"/>
      <c r="C42" s="198"/>
      <c r="D42" s="198"/>
      <c r="E42" s="198"/>
      <c r="F42" s="198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23"/>
      <c r="AB42" s="223"/>
      <c r="AC42" s="216"/>
    </row>
    <row r="43" spans="1:30" ht="23.45" customHeight="1" x14ac:dyDescent="0.5">
      <c r="A43" s="333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"/>
      <c r="T43" s="90"/>
      <c r="U43" s="92"/>
      <c r="V43" s="92"/>
      <c r="W43" s="92"/>
      <c r="X43" s="92"/>
      <c r="Y43" s="92"/>
      <c r="Z43" s="92"/>
      <c r="AA43" s="223"/>
      <c r="AB43" s="223"/>
      <c r="AC43" s="216"/>
    </row>
    <row r="44" spans="1:30" ht="23.45" customHeight="1" x14ac:dyDescent="0.5">
      <c r="A44" s="33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"/>
      <c r="W46" s="79"/>
    </row>
    <row r="47" spans="1:30" ht="23.45" customHeight="1" x14ac:dyDescent="0.25">
      <c r="A47" s="33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286" t="s">
        <v>109</v>
      </c>
      <c r="B49" s="286"/>
      <c r="C49" s="286"/>
      <c r="D49" s="286"/>
      <c r="E49" s="286"/>
      <c r="F49" s="286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296" t="s">
        <v>110</v>
      </c>
      <c r="B50" s="297"/>
      <c r="C50" s="297"/>
      <c r="D50" s="108" t="s">
        <v>111</v>
      </c>
      <c r="E50" s="106" t="s">
        <v>112</v>
      </c>
      <c r="F50" s="302" t="s">
        <v>113</v>
      </c>
      <c r="G50" s="303"/>
      <c r="H50" s="304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23" t="s">
        <v>115</v>
      </c>
      <c r="B51" s="324"/>
      <c r="C51" s="325"/>
      <c r="D51" s="109" t="s">
        <v>10</v>
      </c>
      <c r="E51" s="182"/>
      <c r="F51" s="298" t="str">
        <f>IF($U$36&gt;0,"Below:",IF($U$38=3,"Exceed Plus",IF(AND($U$36=0,$U$38&gt;1),"Exceed:",IF(AND($U$37=2,$U$38=1,$U$36=0),"Meet Plus","Meet"))))</f>
        <v>Meet</v>
      </c>
      <c r="G51" s="305" t="str">
        <f>IF(OR($F$51="Exceed",$F$51="Exceed Plus",$F$51="Meet",$F$51="Meet Plus"),"Can do","Can't do")</f>
        <v>Can do</v>
      </c>
      <c r="H51" s="306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47" t="s">
        <v>117</v>
      </c>
      <c r="B52" s="348"/>
      <c r="C52" s="349"/>
      <c r="D52" s="110" t="s">
        <v>118</v>
      </c>
      <c r="E52" s="183"/>
      <c r="F52" s="299"/>
      <c r="G52" s="307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08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1" t="s">
        <v>121</v>
      </c>
      <c r="B53" s="342"/>
      <c r="C53" s="343"/>
      <c r="D53" s="111" t="s">
        <v>13</v>
      </c>
      <c r="E53" s="200"/>
      <c r="F53" s="300" t="str" cm="1">
        <f t="array" ref="F53">_xlfn.IFS($T$36=2,"Below",$T$38&gt;1,"Exceed",$T$37&gt;1,"Meet",AND($T$37=1,$T$38=1),"Meet Plus",OR(AND($T$38=1,T37=1),$T$36=1),"Meet Minus")</f>
        <v>Meet Minus</v>
      </c>
      <c r="G53" s="309" t="str">
        <f>IF(OR($F$53="Exceed",$F$53="Exceed Plus",$F$53="Meet Plus",$F$53="Meet"),"Prefer &amp; Can do",IF($F$53="Meet Minus","Maybe can do","Can't do"))</f>
        <v>Maybe can do</v>
      </c>
      <c r="H53" s="310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38" t="s">
        <v>122</v>
      </c>
      <c r="B54" s="339"/>
      <c r="C54" s="340"/>
      <c r="D54" s="112" t="s">
        <v>123</v>
      </c>
      <c r="E54" s="201"/>
      <c r="F54" s="301"/>
      <c r="G54" s="29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29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44" t="s">
        <v>125</v>
      </c>
      <c r="B55" s="345"/>
      <c r="C55" s="346"/>
      <c r="D55" s="113" t="s">
        <v>16</v>
      </c>
      <c r="E55" s="200"/>
      <c r="F55" s="300" t="str" cm="1">
        <f t="array" ref="F55">_xlfn.IFS($V$36=2,"Below",$V$38&gt;1,"Exceed",$V$37&gt;1,"Meet",AND($V$37=1,$V$38=1),"Meet Plus",OR(AND($V$38=1,V39=1),$V$36=1),"Meet Minus")</f>
        <v>Meet Plus</v>
      </c>
      <c r="G55" s="309" t="str">
        <f>IF(OR($F$55="Exceed",$F$55="Exceed Plus"),"Best fit",IF(OR($F$55="Meet Plus",$F$55="Meet"),"Fit",IF($F$55="Meet Minus","Maybe fit","Not fit in culture")))</f>
        <v>Fit</v>
      </c>
      <c r="H55" s="310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0" t="s">
        <v>126</v>
      </c>
      <c r="B56" s="351"/>
      <c r="C56" s="352"/>
      <c r="D56" s="112" t="s">
        <v>127</v>
      </c>
      <c r="E56" s="201"/>
      <c r="F56" s="301"/>
      <c r="G56" s="29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29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198" t="s">
        <v>130</v>
      </c>
      <c r="B60" s="198"/>
      <c r="C60" s="198"/>
      <c r="D60" s="198"/>
      <c r="E60" s="198"/>
      <c r="F60" s="198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"/>
      <c r="W61" s="79"/>
    </row>
    <row r="62" spans="1:23" ht="23.45" customHeight="1" x14ac:dyDescent="0.25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"/>
      <c r="W62" s="79"/>
    </row>
    <row r="63" spans="1:23" ht="23.45" customHeight="1" x14ac:dyDescent="0.25">
      <c r="A63" s="33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"/>
      <c r="W63" s="79"/>
    </row>
    <row r="64" spans="1:23" ht="23.45" customHeight="1" x14ac:dyDescent="0.25">
      <c r="A64" s="333"/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"/>
    </row>
    <row r="65" spans="1:34" ht="23.45" customHeight="1" x14ac:dyDescent="0.25">
      <c r="A65" s="333"/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topLeftCell="A36" zoomScale="70" zoomScaleNormal="55" zoomScaleSheetLayoutView="70" workbookViewId="0">
      <selection activeCell="I59" sqref="I59:L59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56" t="s">
        <v>0</v>
      </c>
      <c r="B1" s="257"/>
      <c r="C1" s="257"/>
      <c r="D1" s="257"/>
      <c r="E1" s="257"/>
      <c r="F1" s="257"/>
      <c r="G1" s="258"/>
      <c r="H1" s="258"/>
      <c r="I1" s="257"/>
      <c r="J1" s="257"/>
      <c r="K1" s="257"/>
      <c r="L1" s="257"/>
      <c r="M1" s="257"/>
      <c r="N1" s="257"/>
      <c r="O1" s="259"/>
      <c r="P1" s="3"/>
    </row>
    <row r="2" spans="1:29" ht="25.15" customHeight="1" x14ac:dyDescent="0.25">
      <c r="A2" s="141" t="s">
        <v>1</v>
      </c>
      <c r="B2" s="260" t="s">
        <v>275</v>
      </c>
      <c r="C2" s="261"/>
      <c r="D2" s="261"/>
      <c r="E2" s="261"/>
      <c r="F2" s="261"/>
      <c r="G2" s="262" t="s">
        <v>2</v>
      </c>
      <c r="H2" s="263"/>
      <c r="I2" s="261" t="s">
        <v>274</v>
      </c>
      <c r="J2" s="261"/>
      <c r="K2" s="261"/>
      <c r="L2" s="261"/>
      <c r="M2" s="138" t="s">
        <v>3</v>
      </c>
      <c r="N2" s="261" t="s">
        <v>272</v>
      </c>
      <c r="O2" s="264"/>
      <c r="P2" s="3"/>
    </row>
    <row r="3" spans="1:29" ht="25.15" customHeight="1" x14ac:dyDescent="0.25">
      <c r="A3" s="140" t="s">
        <v>4</v>
      </c>
      <c r="B3" s="260" t="s">
        <v>193</v>
      </c>
      <c r="C3" s="261"/>
      <c r="D3" s="261"/>
      <c r="E3" s="261"/>
      <c r="F3" s="261"/>
      <c r="G3" s="262" t="s">
        <v>5</v>
      </c>
      <c r="H3" s="263"/>
      <c r="I3" s="261" t="s">
        <v>276</v>
      </c>
      <c r="J3" s="261"/>
      <c r="K3" s="261"/>
      <c r="L3" s="261"/>
      <c r="M3" s="139" t="s">
        <v>6</v>
      </c>
      <c r="N3" s="261" t="s">
        <v>277</v>
      </c>
      <c r="O3" s="264"/>
      <c r="P3" s="3"/>
    </row>
    <row r="4" spans="1:29" ht="25.15" customHeight="1" x14ac:dyDescent="0.25">
      <c r="A4" s="142" t="s">
        <v>7</v>
      </c>
      <c r="B4" s="279">
        <v>46087</v>
      </c>
      <c r="C4" s="280"/>
      <c r="D4" s="280"/>
      <c r="E4" s="280"/>
      <c r="F4" s="280"/>
      <c r="G4" s="262" t="s">
        <v>8</v>
      </c>
      <c r="H4" s="263"/>
      <c r="I4" s="261" t="s">
        <v>278</v>
      </c>
      <c r="J4" s="261"/>
      <c r="K4" s="261"/>
      <c r="L4" s="261"/>
      <c r="M4" s="139" t="s">
        <v>9</v>
      </c>
      <c r="N4" s="261" t="s">
        <v>273</v>
      </c>
      <c r="O4" s="264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56" t="s">
        <v>20</v>
      </c>
      <c r="B5" s="257"/>
      <c r="C5" s="257"/>
      <c r="D5" s="257"/>
      <c r="E5" s="257"/>
      <c r="F5" s="257"/>
      <c r="G5" s="271"/>
      <c r="H5" s="271"/>
      <c r="I5" s="257"/>
      <c r="J5" s="257"/>
      <c r="K5" s="257"/>
      <c r="L5" s="257"/>
      <c r="M5" s="257"/>
      <c r="N5" s="257"/>
      <c r="O5" s="259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65" t="s">
        <v>29</v>
      </c>
      <c r="C6" s="266"/>
      <c r="D6" s="266"/>
      <c r="E6" s="266"/>
      <c r="F6" s="267"/>
      <c r="G6" s="272" t="s">
        <v>30</v>
      </c>
      <c r="H6" s="273"/>
      <c r="I6" s="101" t="s">
        <v>31</v>
      </c>
      <c r="J6" s="102" t="s">
        <v>32</v>
      </c>
      <c r="K6" s="102" t="s">
        <v>33</v>
      </c>
      <c r="L6" s="274" t="s">
        <v>34</v>
      </c>
      <c r="M6" s="275"/>
      <c r="N6" s="275"/>
      <c r="O6" s="276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68" t="s">
        <v>194</v>
      </c>
      <c r="C7" s="269"/>
      <c r="D7" s="269"/>
      <c r="E7" s="269"/>
      <c r="F7" s="270"/>
      <c r="G7" s="277" t="s">
        <v>45</v>
      </c>
      <c r="H7" s="278"/>
      <c r="I7" s="105" t="s">
        <v>46</v>
      </c>
      <c r="J7" s="104" t="s">
        <v>47</v>
      </c>
      <c r="K7" s="104" t="s">
        <v>48</v>
      </c>
      <c r="L7" s="268" t="s">
        <v>49</v>
      </c>
      <c r="M7" s="269"/>
      <c r="N7" s="269"/>
      <c r="O7" s="270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170" t="s">
        <v>56</v>
      </c>
      <c r="B8" s="171">
        <v>1</v>
      </c>
      <c r="C8" s="181" t="str">
        <f>IF(ISBLANK($G$8),"โปรดเลือกสมรรถนะที่ต้องการประเมิน",$G$8)</f>
        <v>การแก้ไขปัญหา 
(Problem Solving)</v>
      </c>
      <c r="D8" s="181"/>
      <c r="E8" s="169" t="s">
        <v>196</v>
      </c>
      <c r="F8" s="131"/>
      <c r="G8" s="173" t="s">
        <v>38</v>
      </c>
      <c r="H8" s="174"/>
      <c r="I8" s="175">
        <v>2</v>
      </c>
      <c r="J8" s="178"/>
      <c r="K8" s="186" t="str">
        <f>IF($J$8="","ระบุคะแนน",IF($J$8&lt;$I$8,"Below",IF($J$8=$I$8,"Meet","Exceed")))</f>
        <v>ระบุคะแนน</v>
      </c>
      <c r="L8" s="66" t="s">
        <v>57</v>
      </c>
      <c r="M8" s="244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244"/>
      <c r="O8" s="245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170"/>
      <c r="B9" s="172"/>
      <c r="C9" s="246" t="s">
        <v>61</v>
      </c>
      <c r="D9" s="246"/>
      <c r="E9" s="246"/>
      <c r="F9" s="247"/>
      <c r="G9" s="173"/>
      <c r="H9" s="174"/>
      <c r="I9" s="176"/>
      <c r="J9" s="178"/>
      <c r="K9" s="186"/>
      <c r="L9" s="228" t="s">
        <v>62</v>
      </c>
      <c r="M9" s="231"/>
      <c r="N9" s="231"/>
      <c r="O9" s="232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170"/>
      <c r="B10" s="172"/>
      <c r="C10" s="189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9"/>
      <c r="E10" s="189"/>
      <c r="F10" s="190"/>
      <c r="G10" s="173"/>
      <c r="H10" s="174"/>
      <c r="I10" s="176"/>
      <c r="J10" s="178"/>
      <c r="K10" s="186"/>
      <c r="L10" s="229"/>
      <c r="M10" s="231"/>
      <c r="N10" s="231"/>
      <c r="O10" s="232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170"/>
      <c r="B11" s="172"/>
      <c r="C11" s="191"/>
      <c r="D11" s="191"/>
      <c r="E11" s="191"/>
      <c r="F11" s="192"/>
      <c r="G11" s="173"/>
      <c r="H11" s="174"/>
      <c r="I11" s="177"/>
      <c r="J11" s="178"/>
      <c r="K11" s="186"/>
      <c r="L11" s="230"/>
      <c r="M11" s="231"/>
      <c r="N11" s="231"/>
      <c r="O11" s="232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170"/>
      <c r="B12" s="171">
        <v>2</v>
      </c>
      <c r="C12" s="179" t="str">
        <f>IF(ISBLANK($G$12),"โปรดเลือกสมรรถนะที่ต้องการประเมิน",$G$12)</f>
        <v>SQL Syntax (Basic)</v>
      </c>
      <c r="D12" s="179"/>
      <c r="E12" s="179"/>
      <c r="F12" s="180"/>
      <c r="G12" s="173" t="s">
        <v>254</v>
      </c>
      <c r="H12" s="174"/>
      <c r="I12" s="175">
        <v>2</v>
      </c>
      <c r="J12" s="178"/>
      <c r="K12" s="186" t="str">
        <f>IF($J$12="","ระบุคะแนน",IF($J$12&lt;$I$12,"Below",IF($J$12=$I$12,"Meet","Exceed")))</f>
        <v>ระบุคะแนน</v>
      </c>
      <c r="L12" s="61" t="s">
        <v>57</v>
      </c>
      <c r="M12" s="244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244"/>
      <c r="O12" s="245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170"/>
      <c r="B13" s="172"/>
      <c r="C13" s="187" t="s">
        <v>61</v>
      </c>
      <c r="D13" s="187"/>
      <c r="E13" s="187"/>
      <c r="F13" s="188"/>
      <c r="G13" s="173"/>
      <c r="H13" s="174"/>
      <c r="I13" s="176"/>
      <c r="J13" s="178"/>
      <c r="K13" s="186"/>
      <c r="L13" s="228" t="s">
        <v>62</v>
      </c>
      <c r="M13" s="231"/>
      <c r="N13" s="231"/>
      <c r="O13" s="232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170"/>
      <c r="B14" s="172"/>
      <c r="C14" s="189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9"/>
      <c r="E14" s="189"/>
      <c r="F14" s="190"/>
      <c r="G14" s="173"/>
      <c r="H14" s="174"/>
      <c r="I14" s="176"/>
      <c r="J14" s="178"/>
      <c r="K14" s="186"/>
      <c r="L14" s="229"/>
      <c r="M14" s="231"/>
      <c r="N14" s="231"/>
      <c r="O14" s="232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170"/>
      <c r="B15" s="172"/>
      <c r="C15" s="191"/>
      <c r="D15" s="191"/>
      <c r="E15" s="191"/>
      <c r="F15" s="192"/>
      <c r="G15" s="173"/>
      <c r="H15" s="174"/>
      <c r="I15" s="177"/>
      <c r="J15" s="178"/>
      <c r="K15" s="186"/>
      <c r="L15" s="230"/>
      <c r="M15" s="233"/>
      <c r="N15" s="233"/>
      <c r="O15" s="234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170"/>
      <c r="B16" s="171">
        <v>3</v>
      </c>
      <c r="C16" s="193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193"/>
      <c r="E16" s="193"/>
      <c r="F16" s="194"/>
      <c r="G16" s="174" t="s">
        <v>53</v>
      </c>
      <c r="H16" s="174"/>
      <c r="I16" s="175">
        <v>2</v>
      </c>
      <c r="J16" s="178"/>
      <c r="K16" s="186" t="str">
        <f>IF($J$16="","ระบุคะแนน",IF($J$16&lt;$I$16,"Below",IF($J$16=$I$16,"Meet","Exceed")))</f>
        <v>ระบุคะแนน</v>
      </c>
      <c r="L16" s="66" t="s">
        <v>57</v>
      </c>
      <c r="M16" s="283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283"/>
      <c r="O16" s="284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170"/>
      <c r="B17" s="172"/>
      <c r="C17" s="187" t="s">
        <v>61</v>
      </c>
      <c r="D17" s="187"/>
      <c r="E17" s="187"/>
      <c r="F17" s="188"/>
      <c r="G17" s="174"/>
      <c r="H17" s="174"/>
      <c r="I17" s="176"/>
      <c r="J17" s="178"/>
      <c r="K17" s="186"/>
      <c r="L17" s="228" t="s">
        <v>62</v>
      </c>
      <c r="M17" s="231"/>
      <c r="N17" s="231"/>
      <c r="O17" s="232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170"/>
      <c r="B18" s="172"/>
      <c r="C18" s="235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235"/>
      <c r="E18" s="235"/>
      <c r="F18" s="236"/>
      <c r="G18" s="174"/>
      <c r="H18" s="174"/>
      <c r="I18" s="176"/>
      <c r="J18" s="178"/>
      <c r="K18" s="186"/>
      <c r="L18" s="229"/>
      <c r="M18" s="231"/>
      <c r="N18" s="231"/>
      <c r="O18" s="232"/>
      <c r="P18" s="3"/>
      <c r="T18" s="24"/>
      <c r="Y18" s="22"/>
      <c r="AB18" s="29"/>
      <c r="AC18" s="29"/>
    </row>
    <row r="19" spans="1:30" ht="40.9" customHeight="1" x14ac:dyDescent="0.25">
      <c r="A19" s="170"/>
      <c r="B19" s="172"/>
      <c r="C19" s="237"/>
      <c r="D19" s="237"/>
      <c r="E19" s="237"/>
      <c r="F19" s="238"/>
      <c r="G19" s="174"/>
      <c r="H19" s="174"/>
      <c r="I19" s="177"/>
      <c r="J19" s="178"/>
      <c r="K19" s="186"/>
      <c r="L19" s="230"/>
      <c r="M19" s="233"/>
      <c r="N19" s="233"/>
      <c r="O19" s="234"/>
      <c r="P19" s="3"/>
      <c r="T19" s="24"/>
      <c r="Y19" s="22"/>
      <c r="AB19" s="29"/>
      <c r="AC19" s="29"/>
    </row>
    <row r="20" spans="1:30" ht="40.15" customHeight="1" x14ac:dyDescent="0.25">
      <c r="A20" s="248" t="s">
        <v>89</v>
      </c>
      <c r="B20" s="171">
        <v>4</v>
      </c>
      <c r="C20" s="193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193"/>
      <c r="E20" s="193"/>
      <c r="F20" s="194"/>
      <c r="G20" s="195" t="s">
        <v>212</v>
      </c>
      <c r="H20" s="196"/>
      <c r="I20" s="175">
        <v>2</v>
      </c>
      <c r="J20" s="178"/>
      <c r="K20" s="186" t="str">
        <f>IF($J$20="","ระบุคะแนน",IF($J$20&lt;$I$20,"Below",IF($J$20=$I$20,"Meet","Exceed")))</f>
        <v>ระบุคะแนน</v>
      </c>
      <c r="L20" s="66" t="s">
        <v>57</v>
      </c>
      <c r="M20" s="244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244"/>
      <c r="O20" s="245"/>
      <c r="P20" s="3"/>
      <c r="T20" s="24"/>
      <c r="Y20" s="22"/>
      <c r="AB20" s="29"/>
      <c r="AC20" s="29"/>
    </row>
    <row r="21" spans="1:30" ht="34.9" customHeight="1" x14ac:dyDescent="0.25">
      <c r="A21" s="255"/>
      <c r="B21" s="172"/>
      <c r="C21" s="187" t="s">
        <v>61</v>
      </c>
      <c r="D21" s="187"/>
      <c r="E21" s="187"/>
      <c r="F21" s="188"/>
      <c r="G21" s="195"/>
      <c r="H21" s="196"/>
      <c r="I21" s="176"/>
      <c r="J21" s="178"/>
      <c r="K21" s="186"/>
      <c r="L21" s="228" t="s">
        <v>62</v>
      </c>
      <c r="M21" s="231"/>
      <c r="N21" s="231"/>
      <c r="O21" s="232"/>
      <c r="P21" s="3"/>
      <c r="T21" s="24"/>
      <c r="Y21" s="22"/>
      <c r="AB21" s="29"/>
      <c r="AC21" s="29"/>
    </row>
    <row r="22" spans="1:30" ht="34.9" customHeight="1" x14ac:dyDescent="0.25">
      <c r="A22" s="255"/>
      <c r="B22" s="172"/>
      <c r="C22" s="235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235"/>
      <c r="E22" s="235"/>
      <c r="F22" s="236"/>
      <c r="G22" s="195"/>
      <c r="H22" s="196"/>
      <c r="I22" s="176"/>
      <c r="J22" s="178"/>
      <c r="K22" s="186"/>
      <c r="L22" s="229"/>
      <c r="M22" s="231"/>
      <c r="N22" s="231"/>
      <c r="O22" s="232"/>
      <c r="P22" s="3"/>
      <c r="T22" s="24"/>
      <c r="W22" s="21"/>
      <c r="Y22" s="22"/>
      <c r="AB22" s="29"/>
      <c r="AC22" s="29"/>
    </row>
    <row r="23" spans="1:30" ht="34.9" customHeight="1" x14ac:dyDescent="0.25">
      <c r="A23" s="255"/>
      <c r="B23" s="172"/>
      <c r="C23" s="237"/>
      <c r="D23" s="237"/>
      <c r="E23" s="237"/>
      <c r="F23" s="238"/>
      <c r="G23" s="195"/>
      <c r="H23" s="196"/>
      <c r="I23" s="177"/>
      <c r="J23" s="178"/>
      <c r="K23" s="186"/>
      <c r="L23" s="230"/>
      <c r="M23" s="233"/>
      <c r="N23" s="233"/>
      <c r="O23" s="234"/>
      <c r="P23" s="3"/>
      <c r="T23" s="24"/>
      <c r="Y23" s="22"/>
      <c r="AB23" s="29"/>
      <c r="AC23" s="35"/>
    </row>
    <row r="24" spans="1:30" ht="39.6" customHeight="1" x14ac:dyDescent="0.25">
      <c r="A24" s="255"/>
      <c r="B24" s="171">
        <v>5</v>
      </c>
      <c r="C24" s="193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193"/>
      <c r="E24" s="193"/>
      <c r="F24" s="194"/>
      <c r="G24" s="173" t="s">
        <v>82</v>
      </c>
      <c r="H24" s="174"/>
      <c r="I24" s="175">
        <v>2</v>
      </c>
      <c r="J24" s="178"/>
      <c r="K24" s="186" t="str">
        <f>IF($J$24="","ระบุคะแนน",IF($J$24&lt;$I$24,"Below",IF($J$24=$I$24,"Meet","Exceed")))</f>
        <v>ระบุคะแนน</v>
      </c>
      <c r="L24" s="66" t="s">
        <v>57</v>
      </c>
      <c r="M24" s="251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51"/>
      <c r="O24" s="252"/>
      <c r="P24" s="3"/>
    </row>
    <row r="25" spans="1:30" ht="34.9" customHeight="1" x14ac:dyDescent="0.25">
      <c r="A25" s="255"/>
      <c r="B25" s="172"/>
      <c r="C25" s="253" t="s">
        <v>61</v>
      </c>
      <c r="D25" s="253"/>
      <c r="E25" s="253"/>
      <c r="F25" s="254"/>
      <c r="G25" s="173"/>
      <c r="H25" s="174"/>
      <c r="I25" s="176"/>
      <c r="J25" s="178"/>
      <c r="K25" s="186"/>
      <c r="L25" s="228" t="s">
        <v>62</v>
      </c>
      <c r="M25" s="231"/>
      <c r="N25" s="231"/>
      <c r="O25" s="232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55"/>
      <c r="B26" s="172"/>
      <c r="C26" s="235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235"/>
      <c r="E26" s="235"/>
      <c r="F26" s="236"/>
      <c r="G26" s="173"/>
      <c r="H26" s="174"/>
      <c r="I26" s="176"/>
      <c r="J26" s="178"/>
      <c r="K26" s="186"/>
      <c r="L26" s="229"/>
      <c r="M26" s="231"/>
      <c r="N26" s="231"/>
      <c r="O26" s="232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23"/>
      <c r="AB26" s="223"/>
      <c r="AC26" s="223"/>
      <c r="AD26" s="216"/>
    </row>
    <row r="27" spans="1:30" ht="42.6" customHeight="1" x14ac:dyDescent="0.5">
      <c r="A27" s="255"/>
      <c r="B27" s="172"/>
      <c r="C27" s="237"/>
      <c r="D27" s="237"/>
      <c r="E27" s="237"/>
      <c r="F27" s="238"/>
      <c r="G27" s="173"/>
      <c r="H27" s="174"/>
      <c r="I27" s="177"/>
      <c r="J27" s="178"/>
      <c r="K27" s="186"/>
      <c r="L27" s="230"/>
      <c r="M27" s="233"/>
      <c r="N27" s="233"/>
      <c r="O27" s="234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23"/>
      <c r="AB27" s="223"/>
      <c r="AC27" s="223"/>
      <c r="AD27" s="216"/>
    </row>
    <row r="28" spans="1:30" ht="40.15" customHeight="1" x14ac:dyDescent="0.5">
      <c r="A28" s="248" t="s">
        <v>96</v>
      </c>
      <c r="B28" s="171">
        <v>6</v>
      </c>
      <c r="C28" s="193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193"/>
      <c r="E28" s="193"/>
      <c r="F28" s="194"/>
      <c r="G28" s="174" t="s">
        <v>41</v>
      </c>
      <c r="H28" s="174"/>
      <c r="I28" s="175">
        <v>2</v>
      </c>
      <c r="J28" s="178"/>
      <c r="K28" s="186" t="str">
        <f>IF($J$28="","ระบุคะแนน",IF($J$28&lt;$I$28,"Below",IF($J$28=$I$28,"Meet","Exceed")))</f>
        <v>ระบุคะแนน</v>
      </c>
      <c r="L28" s="66" t="s">
        <v>57</v>
      </c>
      <c r="M28" s="244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244"/>
      <c r="O28" s="245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23"/>
      <c r="AB28" s="223"/>
      <c r="AC28" s="223"/>
      <c r="AD28" s="216"/>
    </row>
    <row r="29" spans="1:30" ht="34.9" customHeight="1" x14ac:dyDescent="0.5">
      <c r="A29" s="249"/>
      <c r="B29" s="172"/>
      <c r="C29" s="253" t="s">
        <v>61</v>
      </c>
      <c r="D29" s="253"/>
      <c r="E29" s="253"/>
      <c r="F29" s="254"/>
      <c r="G29" s="174"/>
      <c r="H29" s="174"/>
      <c r="I29" s="176"/>
      <c r="J29" s="178"/>
      <c r="K29" s="186"/>
      <c r="L29" s="228" t="s">
        <v>62</v>
      </c>
      <c r="M29" s="231"/>
      <c r="N29" s="231"/>
      <c r="O29" s="232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23"/>
      <c r="AB29" s="223"/>
      <c r="AC29" s="223"/>
      <c r="AD29" s="216"/>
    </row>
    <row r="30" spans="1:30" ht="34.9" customHeight="1" x14ac:dyDescent="0.5">
      <c r="A30" s="249"/>
      <c r="B30" s="172"/>
      <c r="C30" s="235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235"/>
      <c r="E30" s="235"/>
      <c r="F30" s="236"/>
      <c r="G30" s="243"/>
      <c r="H30" s="243"/>
      <c r="I30" s="176"/>
      <c r="J30" s="178"/>
      <c r="K30" s="186"/>
      <c r="L30" s="229"/>
      <c r="M30" s="231"/>
      <c r="N30" s="231"/>
      <c r="O30" s="232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23"/>
      <c r="AB30" s="223"/>
      <c r="AC30" s="223"/>
      <c r="AD30" s="216"/>
    </row>
    <row r="31" spans="1:30" ht="34.9" customHeight="1" x14ac:dyDescent="0.5">
      <c r="A31" s="249"/>
      <c r="B31" s="172"/>
      <c r="C31" s="237"/>
      <c r="D31" s="237"/>
      <c r="E31" s="237"/>
      <c r="F31" s="238"/>
      <c r="G31" s="174"/>
      <c r="H31" s="174"/>
      <c r="I31" s="177"/>
      <c r="J31" s="178"/>
      <c r="K31" s="186"/>
      <c r="L31" s="230"/>
      <c r="M31" s="233"/>
      <c r="N31" s="233"/>
      <c r="O31" s="234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23"/>
      <c r="AB31" s="223"/>
      <c r="AC31" s="223"/>
      <c r="AD31" s="216"/>
    </row>
    <row r="32" spans="1:30" ht="40.15" customHeight="1" x14ac:dyDescent="0.5">
      <c r="A32" s="249"/>
      <c r="B32" s="171">
        <v>7</v>
      </c>
      <c r="C32" s="193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193"/>
      <c r="E32" s="193"/>
      <c r="F32" s="194"/>
      <c r="G32" s="174" t="s">
        <v>85</v>
      </c>
      <c r="H32" s="174"/>
      <c r="I32" s="175">
        <v>2</v>
      </c>
      <c r="J32" s="178"/>
      <c r="K32" s="186" t="str">
        <f>IF($J$32="","ระบุคะแนน",IF($J$32&lt;$I$32,"Below",IF($J$32=$I$32,"Meet","Exceed")))</f>
        <v>ระบุคะแนน</v>
      </c>
      <c r="L32" s="66" t="s">
        <v>57</v>
      </c>
      <c r="M32" s="244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244"/>
      <c r="O32" s="245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23"/>
      <c r="AB32" s="223"/>
      <c r="AC32" s="223"/>
      <c r="AD32" s="216"/>
    </row>
    <row r="33" spans="1:30" ht="34.9" customHeight="1" x14ac:dyDescent="0.5">
      <c r="A33" s="249"/>
      <c r="B33" s="172"/>
      <c r="C33" s="246" t="s">
        <v>61</v>
      </c>
      <c r="D33" s="246"/>
      <c r="E33" s="246"/>
      <c r="F33" s="247"/>
      <c r="G33" s="174"/>
      <c r="H33" s="174"/>
      <c r="I33" s="176"/>
      <c r="J33" s="178"/>
      <c r="K33" s="186"/>
      <c r="L33" s="228" t="s">
        <v>62</v>
      </c>
      <c r="M33" s="231"/>
      <c r="N33" s="231"/>
      <c r="O33" s="232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23"/>
      <c r="AB33" s="223"/>
      <c r="AC33" s="223"/>
      <c r="AD33" s="216"/>
    </row>
    <row r="34" spans="1:30" ht="34.9" customHeight="1" x14ac:dyDescent="0.5">
      <c r="A34" s="250"/>
      <c r="B34" s="172"/>
      <c r="C34" s="235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235"/>
      <c r="E34" s="235"/>
      <c r="F34" s="236"/>
      <c r="G34" s="243"/>
      <c r="H34" s="243"/>
      <c r="I34" s="176"/>
      <c r="J34" s="178"/>
      <c r="K34" s="186"/>
      <c r="L34" s="229"/>
      <c r="M34" s="231"/>
      <c r="N34" s="231"/>
      <c r="O34" s="232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49"/>
      <c r="B35" s="242"/>
      <c r="C35" s="237"/>
      <c r="D35" s="237"/>
      <c r="E35" s="237"/>
      <c r="F35" s="238"/>
      <c r="G35" s="174"/>
      <c r="H35" s="174"/>
      <c r="I35" s="177"/>
      <c r="J35" s="178"/>
      <c r="K35" s="186"/>
      <c r="L35" s="230"/>
      <c r="M35" s="233"/>
      <c r="N35" s="233"/>
      <c r="O35" s="234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39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1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23"/>
      <c r="AB36" s="223"/>
      <c r="AC36" s="21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23"/>
      <c r="AB37" s="223"/>
      <c r="AC37" s="216"/>
    </row>
    <row r="38" spans="1:30" ht="34.9" customHeight="1" x14ac:dyDescent="0.25">
      <c r="A38" s="217"/>
      <c r="B38" s="218"/>
      <c r="C38" s="218"/>
      <c r="D38" s="218"/>
      <c r="E38" s="218"/>
      <c r="F38" s="218"/>
      <c r="G38" s="218"/>
      <c r="H38" s="8"/>
      <c r="I38" s="8"/>
      <c r="J38" s="218"/>
      <c r="K38" s="218"/>
      <c r="L38" s="218"/>
      <c r="M38" s="218"/>
      <c r="N38" s="218"/>
      <c r="O38" s="221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23"/>
      <c r="AB38" s="223"/>
      <c r="AC38" s="216"/>
    </row>
    <row r="39" spans="1:30" ht="34.9" customHeight="1" x14ac:dyDescent="0.5">
      <c r="A39" s="219"/>
      <c r="B39" s="220"/>
      <c r="C39" s="220"/>
      <c r="D39" s="220"/>
      <c r="E39" s="220"/>
      <c r="F39" s="220"/>
      <c r="G39" s="220"/>
      <c r="H39" s="8"/>
      <c r="I39" s="8"/>
      <c r="J39" s="220"/>
      <c r="K39" s="220"/>
      <c r="L39" s="220"/>
      <c r="M39" s="220"/>
      <c r="N39" s="220"/>
      <c r="O39" s="222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23"/>
      <c r="AB39" s="223"/>
      <c r="AC39" s="21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23"/>
      <c r="AB40" s="223"/>
      <c r="AC40" s="21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23"/>
      <c r="AB41" s="223"/>
      <c r="AC41" s="216"/>
    </row>
    <row r="42" spans="1:30" ht="34.9" customHeight="1" x14ac:dyDescent="0.7">
      <c r="A42" s="197" t="s">
        <v>108</v>
      </c>
      <c r="B42" s="198"/>
      <c r="C42" s="198"/>
      <c r="D42" s="198"/>
      <c r="E42" s="198"/>
      <c r="F42" s="198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23"/>
      <c r="AB42" s="223"/>
      <c r="AC42" s="216"/>
    </row>
    <row r="43" spans="1:30" ht="34.9" customHeight="1" x14ac:dyDescent="0.5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23"/>
      <c r="AB43" s="223"/>
      <c r="AC43" s="216"/>
    </row>
    <row r="44" spans="1:30" ht="34.9" customHeight="1" x14ac:dyDescent="0.5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3"/>
      <c r="W46" s="63"/>
      <c r="X46" s="118">
        <v>3</v>
      </c>
    </row>
    <row r="47" spans="1:30" ht="34.9" customHeight="1" x14ac:dyDescent="0.5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285" t="s">
        <v>109</v>
      </c>
      <c r="B49" s="286"/>
      <c r="C49" s="286"/>
      <c r="D49" s="286"/>
      <c r="E49" s="286"/>
      <c r="F49" s="286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287" t="s">
        <v>110</v>
      </c>
      <c r="B50" s="288"/>
      <c r="C50" s="288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24"/>
      <c r="C51" s="225"/>
      <c r="D51" s="119" t="s">
        <v>10</v>
      </c>
      <c r="E51" s="182"/>
      <c r="F51" s="184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281"/>
      <c r="L51" s="281"/>
      <c r="M51" s="281"/>
      <c r="N51" s="281"/>
      <c r="O51" s="282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26"/>
      <c r="C52" s="227"/>
      <c r="D52" s="116" t="s">
        <v>118</v>
      </c>
      <c r="E52" s="183"/>
      <c r="F52" s="185"/>
      <c r="G52" s="146"/>
      <c r="H52" s="156" t="b">
        <v>0</v>
      </c>
      <c r="I52" s="19" t="s">
        <v>119</v>
      </c>
      <c r="J52" s="3"/>
      <c r="K52" s="281"/>
      <c r="L52" s="281"/>
      <c r="M52" s="281"/>
      <c r="N52" s="281"/>
      <c r="O52" s="282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04"/>
      <c r="C53" s="205"/>
      <c r="D53" s="113" t="s">
        <v>13</v>
      </c>
      <c r="E53" s="200"/>
      <c r="F53" s="202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281"/>
      <c r="L53" s="281"/>
      <c r="M53" s="281"/>
      <c r="N53" s="281"/>
      <c r="O53" s="282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06"/>
      <c r="C54" s="207"/>
      <c r="D54" s="116" t="s">
        <v>123</v>
      </c>
      <c r="E54" s="201"/>
      <c r="F54" s="203"/>
      <c r="G54" s="148"/>
      <c r="H54" s="149"/>
      <c r="I54" s="148"/>
      <c r="J54" s="3"/>
      <c r="K54" s="281"/>
      <c r="L54" s="281"/>
      <c r="M54" s="281"/>
      <c r="N54" s="281"/>
      <c r="O54" s="282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08"/>
      <c r="C55" s="209"/>
      <c r="D55" s="113" t="s">
        <v>16</v>
      </c>
      <c r="E55" s="200"/>
      <c r="F55" s="202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281"/>
      <c r="L55" s="281"/>
      <c r="M55" s="281"/>
      <c r="N55" s="281"/>
      <c r="O55" s="282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10"/>
      <c r="C56" s="211"/>
      <c r="D56" s="112" t="s">
        <v>127</v>
      </c>
      <c r="E56" s="201"/>
      <c r="F56" s="203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12"/>
      <c r="B57" s="213"/>
      <c r="C57" s="213"/>
      <c r="D57" s="54"/>
      <c r="E57" s="54"/>
      <c r="F57" s="54"/>
      <c r="G57" s="2"/>
      <c r="H57" s="155" t="s">
        <v>120</v>
      </c>
      <c r="I57" s="214"/>
      <c r="J57" s="214"/>
      <c r="K57" s="214"/>
      <c r="L57" s="214"/>
      <c r="M57" s="151" t="s">
        <v>128</v>
      </c>
      <c r="N57" s="214"/>
      <c r="O57" s="215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14"/>
      <c r="J59" s="214"/>
      <c r="K59" s="214"/>
      <c r="L59" s="214"/>
      <c r="M59" s="151" t="s">
        <v>129</v>
      </c>
      <c r="N59" s="214"/>
      <c r="O59" s="215"/>
      <c r="P59" s="3"/>
      <c r="W59" s="79"/>
    </row>
    <row r="60" spans="1:24" ht="34.9" customHeight="1" x14ac:dyDescent="0.7">
      <c r="A60" s="197" t="s">
        <v>130</v>
      </c>
      <c r="B60" s="198"/>
      <c r="C60" s="198"/>
      <c r="D60" s="198"/>
      <c r="E60" s="198"/>
      <c r="F60" s="198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3"/>
      <c r="W61" s="79"/>
    </row>
    <row r="62" spans="1:24" ht="34.9" customHeight="1" x14ac:dyDescent="0.25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3"/>
      <c r="W62" s="79"/>
    </row>
    <row r="63" spans="1:24" ht="34.9" customHeight="1" x14ac:dyDescent="0.25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3"/>
      <c r="W63" s="79"/>
    </row>
    <row r="64" spans="1:24" ht="34.9" customHeight="1" x14ac:dyDescent="0.25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3"/>
    </row>
    <row r="65" spans="1:34" ht="34.9" customHeight="1" x14ac:dyDescent="0.2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2026-03-13T05:13:22Z</dcterms:modified>
  <cp:category/>
  <cp:contentStatus/>
</cp:coreProperties>
</file>
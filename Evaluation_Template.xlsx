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tep Recruite\แบบประเมิน\"/>
    </mc:Choice>
  </mc:AlternateContent>
  <xr:revisionPtr revIDLastSave="0" documentId="13_ncr:1_{D3E6DA9B-2DBE-4F0E-A047-AF14891FF835}" xr6:coauthVersionLast="47" xr6:coauthVersionMax="47" xr10:uidLastSave="{00000000-0000-0000-0000-000000000000}"/>
  <bookViews>
    <workbookView xWindow="30" yWindow="675" windowWidth="21600" windowHeight="15300" tabRatio="597" firstSheet="1" activeTab="1" xr2:uid="{6598361E-4C62-4B69-8502-13B5F75E3E62}"/>
  </bookViews>
  <sheets>
    <sheet name="Evaluate Interview form" sheetId="2" state="hidden" r:id="rId1"/>
    <sheet name="Evaluate Interview form (Demo)" sheetId="13" r:id="rId2"/>
    <sheet name="New_Competency Test " sheetId="10" state="hidden" r:id="rId3"/>
    <sheet name="Competency detail" sheetId="7" r:id="rId4"/>
    <sheet name="Sheet1" sheetId="1" state="hidden" r:id="rId5"/>
  </sheets>
  <definedNames>
    <definedName name="List_cando">_xlfn.ANCHORARRAY('Evaluate Interview form (Demo)'!$AB$99)</definedName>
    <definedName name="List_Willdo">_xlfn.ANCHORARRAY('Evaluate Interview form (Demo)'!$AC$99)</definedName>
    <definedName name="List_Willfit">_xlfn.ANCHORARRAY('Evaluate Interview form (Demo)'!$AD$99)</definedName>
    <definedName name="_xlnm.Print_Area" localSheetId="3">'Competency detail'!$A$1:$G$99</definedName>
    <definedName name="_xlnm.Print_Area" localSheetId="0">'Evaluate Interview form'!$A$1:$P$67</definedName>
    <definedName name="_xlnm.Print_Area" localSheetId="1">'Evaluate Interview form (Demo)'!$A$1:$P$67</definedName>
    <definedName name="_xlnm.Print_Area" localSheetId="2">'New_Competency Test '!$A$1:$G$99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3" l="1" a="1"/>
  <c r="C10" i="13" s="1"/>
  <c r="M32" i="13" a="1"/>
  <c r="M32" i="13" s="1"/>
  <c r="M28" i="13" a="1"/>
  <c r="M28" i="13" s="1"/>
  <c r="M24" i="13" a="1"/>
  <c r="M24" i="13" s="1"/>
  <c r="M20" i="13" a="1"/>
  <c r="M20" i="13" s="1"/>
  <c r="M12" i="13" a="1"/>
  <c r="M12" i="13" s="1"/>
  <c r="M16" i="13" a="1"/>
  <c r="M16" i="13" s="1"/>
  <c r="M8" i="13" a="1"/>
  <c r="M8" i="13" s="1"/>
  <c r="AF114" i="13"/>
  <c r="C30" i="13" a="1"/>
  <c r="C30" i="13" s="1"/>
  <c r="C34" i="13" a="1"/>
  <c r="C34" i="13" s="1"/>
  <c r="C26" i="13" a="1"/>
  <c r="C26" i="13" s="1"/>
  <c r="C18" i="13" a="1"/>
  <c r="C18" i="13" s="1"/>
  <c r="C24" i="13"/>
  <c r="C22" i="13" a="1"/>
  <c r="C22" i="13" s="1"/>
  <c r="C14" i="13" a="1"/>
  <c r="C14" i="13" s="1"/>
  <c r="AD99" i="13" a="1"/>
  <c r="AD99" i="13" s="1"/>
  <c r="AC99" i="13" a="1"/>
  <c r="AC99" i="13" s="1"/>
  <c r="AB99" i="13" a="1"/>
  <c r="AB99" i="13" s="1"/>
  <c r="AF138" i="13"/>
  <c r="AF132" i="13"/>
  <c r="AF126" i="13"/>
  <c r="AF144" i="13"/>
  <c r="AF120" i="13"/>
  <c r="AF108" i="13"/>
  <c r="AF102" i="13"/>
  <c r="AF96" i="13"/>
  <c r="AF90" i="13"/>
  <c r="AF84" i="13"/>
  <c r="AF78" i="13"/>
  <c r="AD83" i="13"/>
  <c r="AD82" i="13"/>
  <c r="AD81" i="13"/>
  <c r="AD80" i="13"/>
  <c r="AD79" i="13"/>
  <c r="AD78" i="13"/>
  <c r="AC85" i="13"/>
  <c r="AC84" i="13"/>
  <c r="AC83" i="13"/>
  <c r="AC82" i="13"/>
  <c r="AC81" i="13"/>
  <c r="AC80" i="13"/>
  <c r="AC79" i="13"/>
  <c r="AC78" i="13"/>
  <c r="AB84" i="13"/>
  <c r="AB83" i="13"/>
  <c r="AB82" i="13"/>
  <c r="AB81" i="13"/>
  <c r="AB80" i="13"/>
  <c r="AB79" i="13"/>
  <c r="AB78" i="13"/>
  <c r="K32" i="13" l="1"/>
  <c r="K28" i="13"/>
  <c r="K24" i="13"/>
  <c r="K20" i="13"/>
  <c r="T37" i="13" s="1"/>
  <c r="K16" i="13"/>
  <c r="K12" i="13"/>
  <c r="K8" i="13"/>
  <c r="B68" i="7"/>
  <c r="B62" i="7"/>
  <c r="B56" i="7"/>
  <c r="B50" i="7"/>
  <c r="B38" i="7"/>
  <c r="B32" i="7"/>
  <c r="B26" i="7"/>
  <c r="B20" i="7"/>
  <c r="B8" i="7"/>
  <c r="B2" i="7"/>
  <c r="A55" i="13"/>
  <c r="C8" i="13"/>
  <c r="B44" i="10"/>
  <c r="B50" i="10"/>
  <c r="A51" i="13"/>
  <c r="A53" i="13"/>
  <c r="W55" i="13"/>
  <c r="W51" i="13"/>
  <c r="W47" i="13"/>
  <c r="X41" i="13"/>
  <c r="W41" i="13"/>
  <c r="X39" i="13"/>
  <c r="W39" i="13"/>
  <c r="X37" i="13"/>
  <c r="W37" i="13"/>
  <c r="X32" i="13"/>
  <c r="W32" i="13"/>
  <c r="V32" i="13"/>
  <c r="V36" i="13"/>
  <c r="C32" i="13"/>
  <c r="X31" i="13"/>
  <c r="W31" i="13"/>
  <c r="V31" i="13"/>
  <c r="X30" i="13"/>
  <c r="W30" i="13"/>
  <c r="V30" i="13"/>
  <c r="X29" i="13"/>
  <c r="W29" i="13"/>
  <c r="V29" i="13"/>
  <c r="X28" i="13"/>
  <c r="W28" i="13"/>
  <c r="V28" i="13"/>
  <c r="C28" i="13"/>
  <c r="X27" i="13"/>
  <c r="W27" i="13"/>
  <c r="V27" i="13"/>
  <c r="X26" i="13"/>
  <c r="W26" i="13"/>
  <c r="V26" i="13"/>
  <c r="C20" i="13"/>
  <c r="C16" i="13"/>
  <c r="C12" i="13"/>
  <c r="G51" i="2"/>
  <c r="G52" i="2" s="1" a="1"/>
  <c r="G52" i="2" s="1"/>
  <c r="G56" i="2" a="1"/>
  <c r="G56" i="2" s="1"/>
  <c r="G55" i="2"/>
  <c r="G53" i="2"/>
  <c r="G54" i="2" s="1" a="1"/>
  <c r="G54" i="2" s="1"/>
  <c r="F53" i="2" a="1"/>
  <c r="F53" i="2" s="1"/>
  <c r="F51" i="2"/>
  <c r="X41" i="2"/>
  <c r="W41" i="2"/>
  <c r="X39" i="2"/>
  <c r="W39" i="2"/>
  <c r="W37" i="2"/>
  <c r="U38" i="13" l="1"/>
  <c r="V33" i="13"/>
  <c r="U37" i="13"/>
  <c r="T36" i="13"/>
  <c r="T38" i="13"/>
  <c r="U36" i="13"/>
  <c r="V37" i="13"/>
  <c r="V38" i="13"/>
  <c r="W33" i="13"/>
  <c r="X33" i="13"/>
  <c r="K12" i="2"/>
  <c r="X37" i="2"/>
  <c r="K32" i="2"/>
  <c r="K28" i="2"/>
  <c r="K24" i="2"/>
  <c r="K20" i="2"/>
  <c r="K16" i="2"/>
  <c r="K8" i="2"/>
  <c r="U36" i="2" s="1"/>
  <c r="F53" i="13" l="1" a="1"/>
  <c r="F53" i="13" s="1"/>
  <c r="F55" i="13" a="1"/>
  <c r="F55" i="13" s="1"/>
  <c r="F51" i="13"/>
  <c r="V38" i="2"/>
  <c r="V37" i="2"/>
  <c r="V36" i="2"/>
  <c r="T38" i="2"/>
  <c r="T37" i="2"/>
  <c r="T36" i="2"/>
  <c r="B68" i="10"/>
  <c r="B62" i="10"/>
  <c r="B56" i="10"/>
  <c r="B38" i="10"/>
  <c r="B32" i="10"/>
  <c r="B26" i="10"/>
  <c r="B20" i="10"/>
  <c r="B8" i="10"/>
  <c r="B2" i="10"/>
  <c r="X32" i="2"/>
  <c r="X31" i="2"/>
  <c r="X30" i="2"/>
  <c r="X29" i="2"/>
  <c r="X28" i="2"/>
  <c r="X27" i="2"/>
  <c r="X26" i="2"/>
  <c r="W32" i="2"/>
  <c r="W31" i="2"/>
  <c r="W30" i="2"/>
  <c r="W29" i="2"/>
  <c r="W28" i="2"/>
  <c r="W27" i="2"/>
  <c r="W26" i="2"/>
  <c r="K50" i="13" l="1"/>
  <c r="F55" i="2" a="1"/>
  <c r="F55" i="2" s="1"/>
  <c r="U38" i="2"/>
  <c r="U37" i="2"/>
  <c r="W33" i="2"/>
  <c r="X33" i="2"/>
  <c r="V32" i="2"/>
  <c r="V31" i="2"/>
  <c r="V30" i="2"/>
  <c r="V29" i="2"/>
  <c r="V28" i="2"/>
  <c r="V27" i="2"/>
  <c r="V26" i="2"/>
  <c r="M12" i="2" a="1"/>
  <c r="M12" i="2" s="1"/>
  <c r="C14" i="2" a="1"/>
  <c r="C14" i="2" s="1"/>
  <c r="M8" i="2" a="1"/>
  <c r="M8" i="2" s="1"/>
  <c r="C10" i="2" a="1"/>
  <c r="C10" i="2" s="1"/>
  <c r="AF144" i="2"/>
  <c r="AF138" i="2"/>
  <c r="AF132" i="2"/>
  <c r="AF126" i="2"/>
  <c r="AF120" i="2"/>
  <c r="AF114" i="2"/>
  <c r="AF108" i="2"/>
  <c r="AF102" i="2"/>
  <c r="AF96" i="2"/>
  <c r="AF84" i="2"/>
  <c r="AF78" i="2"/>
  <c r="C32" i="2"/>
  <c r="C28" i="2"/>
  <c r="C8" i="2"/>
  <c r="C12" i="2"/>
  <c r="C24" i="2"/>
  <c r="C16" i="2"/>
  <c r="C20" i="2"/>
  <c r="M32" i="2" l="1" a="1"/>
  <c r="M32" i="2" s="1"/>
  <c r="V33" i="2"/>
  <c r="C22" i="2" a="1"/>
  <c r="C22" i="2" s="1"/>
  <c r="M20" i="2" a="1"/>
  <c r="M20" i="2" s="1"/>
  <c r="C26" i="2" a="1"/>
  <c r="C26" i="2" s="1"/>
  <c r="M24" i="2" a="1"/>
  <c r="M24" i="2" s="1"/>
  <c r="C30" i="2" a="1"/>
  <c r="C30" i="2" s="1"/>
  <c r="M28" i="2" a="1"/>
  <c r="M28" i="2" s="1"/>
  <c r="C18" i="2" a="1"/>
  <c r="C18" i="2" s="1"/>
  <c r="C34" i="2" a="1"/>
  <c r="C34" i="2" s="1"/>
  <c r="M16" i="2" a="1"/>
  <c r="M1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Suttharinthon Tapan</author>
  </authors>
  <commentList>
    <comment ref="A43" authorId="0" shapeId="0" xr:uid="{BB9403C8-B39A-4FE9-9B17-34ADC0AEE6DF}">
      <text>
        <r>
          <rPr>
            <b/>
            <sz val="18"/>
            <color indexed="81"/>
            <rFont val="Angsana New"/>
            <family val="1"/>
          </rPr>
          <t>Suttharinthon Tapan:</t>
        </r>
        <r>
          <rPr>
            <sz val="18"/>
            <color indexed="81"/>
            <rFont val="Angsana New"/>
            <family val="1"/>
          </rPr>
          <t xml:space="preserve">
ต้องมีเหตุผลในการเสนอจ้างดังนี้
- มี Technical skill อะไรที่เหมาะกับบทบาท ?
- คิดว่าเหมาะสมกับทีมยังไง ?
- จุดเด่น ?
- สิ่งที่ต้องพัฒนาเพิ่ม แล้วจะทำให้เหมาะสมกับบทบาทมากยิ่งขึ้น 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Suttharinthon Tapan</author>
  </authors>
  <commentList>
    <comment ref="A43" authorId="0" shapeId="0" xr:uid="{28F428F7-1688-4499-9B28-182C9E4E8307}">
      <text>
        <r>
          <rPr>
            <b/>
            <sz val="18"/>
            <color indexed="81"/>
            <rFont val="Angsana New"/>
            <family val="1"/>
          </rPr>
          <t>Suttharinthon Tapan:</t>
        </r>
        <r>
          <rPr>
            <sz val="18"/>
            <color indexed="81"/>
            <rFont val="Angsana New"/>
            <family val="1"/>
          </rPr>
          <t xml:space="preserve">
ต้องมีเหตุผลในการเสนอจ้างดังนี้
- มี Technical skill อะไรที่เหมาะกับบทบาท ?
- คิดว่าเหมาะสมกับทีมยังไง ?
- จุดเด่น ?
- สิ่งที่ต้องพัฒนาเพิ่ม แล้วจะทำให้เหมาะสมกับบทบาทมากยิ่งขึ้น 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<sst xmlns="http://schemas.openxmlformats.org/spreadsheetml/2006/main" count="779" uniqueCount="279">
  <si>
    <t>แบบประเมินการสัมภาษณ์งาน</t>
  </si>
  <si>
    <t>ชื่อ-นามสกุล:</t>
  </si>
  <si>
    <t>ตำแหน่งที่สมัคร (Positions):</t>
  </si>
  <si>
    <t>บทบาท (Role):</t>
  </si>
  <si>
    <t>บริษัท:</t>
  </si>
  <si>
    <t>ฝ่าย (Department):</t>
  </si>
  <si>
    <t>แผนก (Section):</t>
  </si>
  <si>
    <t>วันที่สัมภาษณ์:</t>
  </si>
  <si>
    <t>ผู้สัมภาษณ์ (Interviewer):</t>
  </si>
  <si>
    <t>ผู้สรรหา (Recruiter):</t>
  </si>
  <si>
    <t>Can do</t>
  </si>
  <si>
    <t>Eng Can do</t>
  </si>
  <si>
    <t>ความหมาย Can do</t>
  </si>
  <si>
    <t>Will do</t>
  </si>
  <si>
    <t>Eng Will do</t>
  </si>
  <si>
    <t>ความหมาย Will do</t>
  </si>
  <si>
    <t>Will fit</t>
  </si>
  <si>
    <t>Eng Will fit</t>
  </si>
  <si>
    <t>ความหมาย Will fit</t>
  </si>
  <si>
    <t>Score</t>
  </si>
  <si>
    <t>บันทึกผลการสัมภาษณ์</t>
  </si>
  <si>
    <t>การคิดวิเคราะห์ &amp; การตัดสินใจ 
(Analytical Thinking &amp; Decision Making)</t>
  </si>
  <si>
    <t>Analytical Thinking</t>
  </si>
  <si>
    <t>• ความสามารถในการวิเคราะห์ ประมวลข้อมูล และสรุปประเด็นสำคัญ
• การวิเคราะห์และตัดสินใจบนพื้นฐานของข้อมูลอย่างสมเหตุสมผล</t>
  </si>
  <si>
    <t>การคิดเชิงวิเคราะห์ 
(Analytical Thinking)</t>
  </si>
  <si>
    <t>พัฒนาทักษะตัวเองอยู่เสมอ 
(Self-Development)</t>
  </si>
  <si>
    <t>Self-Development</t>
  </si>
  <si>
    <t>• พฤติกรรมในการพัฒนาทักษะและความสามารถของตนเองอยู่เสมอ</t>
  </si>
  <si>
    <t>หลักพิจารณา</t>
  </si>
  <si>
    <t>รายการประเมิน</t>
  </si>
  <si>
    <t>เลือกสมรรถนะที่ต้องการประเมิน</t>
  </si>
  <si>
    <t>คาดหวัง</t>
  </si>
  <si>
    <t>คะแนน</t>
  </si>
  <si>
    <t>ผลประเมิน</t>
  </si>
  <si>
    <t>หมายเหตุ/ ความคิดเห็น</t>
  </si>
  <si>
    <t>ความเชี่ยวชาญด้านเทคนิค 
(Technical Skill)</t>
  </si>
  <si>
    <t>Technical Skill</t>
  </si>
  <si>
    <t>• ทักษะด้านการเขียนโปรแกรมหรือเครื่องมื่อต่างๆ</t>
  </si>
  <si>
    <t>การแก้ไขปัญหา 
(Problem Solving)</t>
  </si>
  <si>
    <t>Problem Solving</t>
  </si>
  <si>
    <t>• การวิเคราะห์สถานการณ์และการคิดอย่างเป็นระบบ
• ความคิดสร้างสรรค์ในการหาทางออก</t>
  </si>
  <si>
    <t>การปรับตัว &amp; การทำงานร่วมกันเป็นทีม
(Adaptability &amp; Teamwork)</t>
  </si>
  <si>
    <t>Teamwork &amp; Adaptability</t>
  </si>
  <si>
    <t>• สามารถปรับตัวทำงานร่วมกับทีมได้ดี
• พร้อมรับฟังและยอมรับความเห็นต่าง</t>
  </si>
  <si>
    <t>(Pillar)</t>
  </si>
  <si>
    <t>(Competency)</t>
  </si>
  <si>
    <t>(Expect)</t>
  </si>
  <si>
    <t xml:space="preserve"> (Score)</t>
  </si>
  <si>
    <t>(Result)</t>
  </si>
  <si>
    <t>(Note/ Comment)</t>
  </si>
  <si>
    <t>ความคล่องตัวในการเรียนรู้ 
(Learning Agility)</t>
  </si>
  <si>
    <t>Learning Agility</t>
  </si>
  <si>
    <t>• เรียนรู้เทคโนโลยีใหม่ ๆ ได้เร็วและต่อเนื่อง</t>
  </si>
  <si>
    <t>ทักษะการสื่อสารและเจรจา 
(Communication &amp; Negotiation)</t>
  </si>
  <si>
    <t>Communication &amp; Negotiation</t>
  </si>
  <si>
    <t>• สามารถในการอธิบายแนวคิด หรือ เรื่องราวต่างๆ ได้ชัดเจน</t>
  </si>
  <si>
    <r>
      <t xml:space="preserve">ที่ต้องทำ
</t>
    </r>
    <r>
      <rPr>
        <b/>
        <u/>
        <sz val="20"/>
        <color rgb="FFFF0000"/>
        <rFont val="Angsana New"/>
        <family val="1"/>
      </rPr>
      <t>(Can do)</t>
    </r>
  </si>
  <si>
    <t>ผล:</t>
  </si>
  <si>
    <t>การวางแผนและการจัดระเบียบ 
(Planning &amp; Organizing)</t>
  </si>
  <si>
    <t>Planning &amp; Organizing</t>
  </si>
  <si>
    <t>• สามารถวางแผนการจัดการปัญหาหรือโปรเจกต์ได้อย่างมีประสิทธิภาพและลื่นไหล</t>
  </si>
  <si>
    <t>เกณฑ์ทักษะความสามารถที่คาดหวัง:</t>
  </si>
  <si>
    <t xml:space="preserve">ทีม:
</t>
  </si>
  <si>
    <t>• สามารถในการอธิบายแนวคิด หรือ เรื่องราวต่างๆ ได้ชัดเจน
• สามารถจูงใจหรือโน้วน้าวผู้อื่น ได้</t>
  </si>
  <si>
    <t>มีความซื่อสัตย์ในการทำงาน 
(Work Ethic)</t>
  </si>
  <si>
    <t>Work Ethic</t>
  </si>
  <si>
    <t>• พฤติกรรมที่ซื่อตรงในการทำงาน ไม่ปกปิดข้อมูลใดที่อาจก่อให้เกิดความเสียหาย</t>
  </si>
  <si>
    <t>มีใจรักการบริการและพร้อมช่วยเหลือลูกค้า 
(Service Mindset)</t>
  </si>
  <si>
    <t>Service Mindset</t>
  </si>
  <si>
    <t>• ความตั้งใจ มุ่งมั่น ใส่ใจ และเต็มใจที่จะให้บริการลูกค้าอย่างดีที่สุด</t>
  </si>
  <si>
    <t>การจัดการเวลา 
(Time Management)</t>
  </si>
  <si>
    <t>Time Management</t>
  </si>
  <si>
    <t>• สามารถบริหารเวลาในการทำงานได้อย่างเหมาะสม</t>
  </si>
  <si>
    <t>เข้าใจและตอบสนองความต้องการ &amp; ใจรักการบริการ
(Customer Focus &amp; Service Mindset)</t>
  </si>
  <si>
    <t>Customer Focus</t>
  </si>
  <si>
    <t>• สามารถรวบรวมข้อมูล วิเคราะห์ กระทั่งเข้าใจและตอบสนองความต้องการของลูกค้าอย่างแท้จริงอย่างเป็นมิตร</t>
  </si>
  <si>
    <t>ความกระตือรือร้น &amp; ทัศนคติเชิงบวก
(Proactive &amp; Growth Mindset)</t>
  </si>
  <si>
    <t>Proactive &amp; Growth Mindset</t>
  </si>
  <si>
    <t>• ความกระตือรือร้นที่จะทำงาน หาความรู้ วิธีการรับมือกับปัญหา</t>
  </si>
  <si>
    <t>มุ่งมั่นให้งานเสร็จและมีคุณภาพ 
(Drive for Achievement)</t>
  </si>
  <si>
    <t>Drive for Achievement</t>
  </si>
  <si>
    <t>• ผู้ที่มักตั้งเป้าหมายที่ชัดเจน และมุ่งมั่นอย่างสูงเพื่อให้งานเสร็จและมีคุณภาพ</t>
  </si>
  <si>
    <t>รับผิดชอบงานของตนเอง 
(Accountability / Ownership)</t>
  </si>
  <si>
    <t>Accountability / Ownership</t>
  </si>
  <si>
    <t>• พฤติกรรมที่รับผิดชอบงานของตนเองให้เสร็จตามเวลาที่กำหนด</t>
  </si>
  <si>
    <t>ความกระตือรือร้น &amp; ทัศนคติเชิงบวก
 (Proactive &amp; Growth Mindset)</t>
  </si>
  <si>
    <t>เข้าใจและตอบสนองความต้องการ &amp; ใจรักการบริการ
 (Customer Focus &amp; Service Mindset)</t>
  </si>
  <si>
    <t>Customer Focus &amp; Service Mindset</t>
  </si>
  <si>
    <t xml:space="preserve">
</t>
  </si>
  <si>
    <r>
      <t xml:space="preserve">ที่ชอบทำ
</t>
    </r>
    <r>
      <rPr>
        <b/>
        <u/>
        <sz val="20"/>
        <color rgb="FFFF0000"/>
        <rFont val="Angsana New"/>
        <family val="1"/>
      </rPr>
      <t>(Will do)</t>
    </r>
  </si>
  <si>
    <t xml:space="preserve">Part </t>
  </si>
  <si>
    <t>No</t>
  </si>
  <si>
    <t>Expect score</t>
  </si>
  <si>
    <t>Result</t>
  </si>
  <si>
    <t>Interpreting</t>
  </si>
  <si>
    <t>Can do, Best fit ,Cann't do, Not fit</t>
  </si>
  <si>
    <r>
      <t xml:space="preserve">ที่เหมาะสม
</t>
    </r>
    <r>
      <rPr>
        <b/>
        <u/>
        <sz val="20"/>
        <color rgb="FFFF0000"/>
        <rFont val="Angsana New"/>
        <family val="1"/>
      </rPr>
      <t>(Will fit)</t>
    </r>
  </si>
  <si>
    <t>Total</t>
  </si>
  <si>
    <t>ตัวช่วยเพื่อวางเงื่อนไขคำนวณคะแนนน Will do</t>
  </si>
  <si>
    <t>ตัวช่วยเพื่อวางเงื่อนไขคำนวณคะแนนน can do</t>
  </si>
  <si>
    <t>ตัวช่วยเพื่อวางเงื่อนไขคำนวณคะแนนน Will fit</t>
  </si>
  <si>
    <t>ตัวช่วยเพื่อวางเงื่อนคะแนนที่คาดหวัง</t>
  </si>
  <si>
    <t>ตัวช่วยเพื่อวางเงื่อนคะแนนการสัมภาษณ์</t>
  </si>
  <si>
    <t>สิ่งที่ต้องทำ (Can do)</t>
  </si>
  <si>
    <t>จุดเด่น</t>
  </si>
  <si>
    <t>จุดด้อย</t>
  </si>
  <si>
    <t>แรงจูงใจ(Will do)</t>
  </si>
  <si>
    <t>ความเหมาะสมกับวัฒนธรรม (Will fit)</t>
  </si>
  <si>
    <r>
      <rPr>
        <b/>
        <sz val="24"/>
        <color theme="1"/>
        <rFont val="Angsana New"/>
        <family val="1"/>
      </rPr>
      <t xml:space="preserve">      </t>
    </r>
    <r>
      <rPr>
        <b/>
        <u/>
        <sz val="24"/>
        <color theme="1"/>
        <rFont val="Angsana New"/>
        <family val="1"/>
      </rPr>
      <t>เหตุผลในการขอเสนอจ้าง:</t>
    </r>
  </si>
  <si>
    <r>
      <rPr>
        <b/>
        <sz val="24"/>
        <color theme="1"/>
        <rFont val="Angsana New"/>
        <family val="1"/>
      </rPr>
      <t xml:space="preserve">       </t>
    </r>
    <r>
      <rPr>
        <b/>
        <u/>
        <sz val="24"/>
        <color theme="1"/>
        <rFont val="Angsana New"/>
        <family val="1"/>
      </rPr>
      <t>สรุปผลการสัมภาษณ์</t>
    </r>
  </si>
  <si>
    <t>เกณฑ์การประเมินผลการสัมภาษณ์</t>
  </si>
  <si>
    <t>ส่วนประเมิน</t>
  </si>
  <si>
    <t>%Titie</t>
  </si>
  <si>
    <t>ผลการประเมินผล</t>
  </si>
  <si>
    <t>ผ่าน</t>
  </si>
  <si>
    <t>Exceed Plus: ความสามารถโดดเด่นพิเศษ</t>
  </si>
  <si>
    <t>ไม่ผ่าน</t>
  </si>
  <si>
    <t>Exceed: ความสามารถโดดเด่น</t>
  </si>
  <si>
    <t>(Core competency)</t>
  </si>
  <si>
    <t>รอเปรียบเทียบ</t>
  </si>
  <si>
    <t>Buddy:</t>
  </si>
  <si>
    <t>Meet Plus: ค่อ</t>
  </si>
  <si>
    <t>Meet : เหมาะสมกับตำแหน่ง</t>
  </si>
  <si>
    <t>(Copetency)</t>
  </si>
  <si>
    <t>Suppervior</t>
  </si>
  <si>
    <t>Meet Minus :</t>
  </si>
  <si>
    <t>Below: ต่ำกว่าความคาดหวัง</t>
  </si>
  <si>
    <t>(Culture fit)</t>
  </si>
  <si>
    <t>ลงชื่อ:</t>
  </si>
  <si>
    <t>วันที่:</t>
  </si>
  <si>
    <r>
      <rPr>
        <b/>
        <sz val="24"/>
        <color theme="1"/>
        <rFont val="Angsana New"/>
        <family val="1"/>
      </rPr>
      <t xml:space="preserve">      </t>
    </r>
    <r>
      <rPr>
        <b/>
        <u/>
        <sz val="24"/>
        <color theme="1"/>
        <rFont val="Angsana New"/>
        <family val="1"/>
      </rPr>
      <t xml:space="preserve"> สรุปผลฝ่ายบุคคล:</t>
    </r>
  </si>
  <si>
    <t>Meaning</t>
  </si>
  <si>
    <r>
      <rPr>
        <sz val="16"/>
        <color rgb="FFFF0000"/>
        <rFont val="Angsana New"/>
        <family val="1"/>
      </rPr>
      <t>ไม่ตัดสินใจ /ไม่สามารถคิดวิเคราะห์ได้</t>
    </r>
    <r>
      <rPr>
        <sz val="16"/>
        <color theme="1"/>
        <rFont val="Angsana New"/>
        <family val="1"/>
      </rPr>
      <t xml:space="preserve"> เช่น วิเคราะห์หาสาเหตุไม่ได้</t>
    </r>
  </si>
  <si>
    <t>1. สามารถวิเคราะห์ข้อมูลเบื้องต้น 2.ตัดสินใจได้อย่างสมเหตุสมผล</t>
  </si>
  <si>
    <t>1. สามารถวิเคราะห์แบบเจาะจงรายละเอียดได้ 2. ถูกต้องตามพื้นฐานข้อมูล 3. ตัดสินใจได้สมเหตุสมผล</t>
  </si>
  <si>
    <r>
      <t>1. สามารถวิเคราะห์แบบเจาะจงรายละเอียดได้ 2. ถูกต้องตามพื้นฐานข้อมูล 3. ตัดสินใจได้สมเหตุสมผล 4.</t>
    </r>
    <r>
      <rPr>
        <sz val="16"/>
        <color rgb="FFFF0000"/>
        <rFont val="Angsana New"/>
        <family val="1"/>
      </rPr>
      <t xml:space="preserve"> คาดการปัญหาและวิธีแก้ไขได้</t>
    </r>
  </si>
  <si>
    <r>
      <t>1. วิเคราะห์ได้ครอบคลุม 2. เจาะจงละเอียด</t>
    </r>
    <r>
      <rPr>
        <sz val="16"/>
        <color rgb="FFFF0000"/>
        <rFont val="Angsana New"/>
        <family val="1"/>
      </rPr>
      <t xml:space="preserve">ครบถ้วน </t>
    </r>
    <r>
      <rPr>
        <sz val="16"/>
        <color theme="1"/>
        <rFont val="Angsana New"/>
        <family val="1"/>
      </rPr>
      <t>3. ตัดสินใจโดยอิงข้อมูล</t>
    </r>
    <r>
      <rPr>
        <sz val="16"/>
        <color rgb="FFFF0000"/>
        <rFont val="Angsana New"/>
        <family val="1"/>
      </rPr>
      <t>เสมอ</t>
    </r>
    <r>
      <rPr>
        <sz val="16"/>
        <color theme="1"/>
        <rFont val="Angsana New"/>
        <family val="1"/>
      </rPr>
      <t xml:space="preserve"> 4. ปิดความเสี่ยงได้ดี</t>
    </r>
  </si>
  <si>
    <t>ไม่แก้ไขปัญหา / หนีปัญหา</t>
  </si>
  <si>
    <t>แก้ไขปัญหา โดยศึกษาข้อมูลพื้นฐาน / ถามผู้รู้</t>
  </si>
  <si>
    <t>1. สามารถแก้ไขปัญหาที่ซับซ้อนปานกลางให้สำเร็จได้ด้วยตนเอง เช่น ไล่ code แก้ bug ง่ายเองได้</t>
  </si>
  <si>
    <t>1. แก้ไขปัญหาได้อย่างรวดเร็ว 2. ถูกต้องตามตรรกะ 3. สามารถนำกลุ่ม หรือ ทีม ในการแก้ไขปัญหาที่ซับซ้อนได้</t>
  </si>
  <si>
    <t>1. เชี่ยวชาญในการแก้ไขปัญหาที่มีความซับซ้อนสูง 2. มีแนวทางในการป้องกันการเกิดปัญหาเล็กก่อนที่จะเป็นปัญหาระดับองค์กร</t>
  </si>
  <si>
    <t>ความเชี่ยวชาญด้านเทคนิค (Technical Skill)</t>
  </si>
  <si>
    <t>ไม่มีความรู้ และทักษะที่จำเป็นในการทำงาน</t>
  </si>
  <si>
    <r>
      <t xml:space="preserve">มีทักษะความรู้บ้างเล็กน้อย/ </t>
    </r>
    <r>
      <rPr>
        <sz val="16"/>
        <color rgb="FFFF0000"/>
        <rFont val="Angsana New"/>
        <family val="1"/>
      </rPr>
      <t xml:space="preserve">ต้องมีคนแนะนำ </t>
    </r>
    <r>
      <rPr>
        <sz val="16"/>
        <color theme="1"/>
        <rFont val="Angsana New"/>
        <family val="1"/>
      </rPr>
      <t>เช่น เข้าใจหลักการของการแก้ไขปัญหาง่ายๆ</t>
    </r>
  </si>
  <si>
    <r>
      <t>มีทักษะและความรู้เชิงลึก</t>
    </r>
    <r>
      <rPr>
        <sz val="16"/>
        <color rgb="FFFF0000"/>
        <rFont val="Angsana New"/>
        <family val="1"/>
      </rPr>
      <t>เหมาะสมกับลักษณะงาน</t>
    </r>
    <r>
      <rPr>
        <sz val="16"/>
        <color theme="1"/>
        <rFont val="Angsana New"/>
        <family val="1"/>
      </rPr>
      <t xml:space="preserve"> คือ 1. รู้หลัการ 2. ปฏิบัติได้ดี</t>
    </r>
  </si>
  <si>
    <r>
      <t xml:space="preserve">มีความเชี่ยวชาญ คือ 1. รู้หลัการ 2. ปฏิบัติได้ดี </t>
    </r>
    <r>
      <rPr>
        <sz val="16"/>
        <color rgb="FFFF0000"/>
        <rFont val="Angsana New"/>
        <family val="1"/>
      </rPr>
      <t>3. ใช้เวลาในการทำงานรวดเร็วกว่าปกติ 4. สอนหรือแนะนำผู้อื่นได้</t>
    </r>
  </si>
  <si>
    <r>
      <t xml:space="preserve">1. มีความเชี่ยวชาญ </t>
    </r>
    <r>
      <rPr>
        <sz val="16"/>
        <color rgb="FFFF0000"/>
        <rFont val="Angsana New"/>
        <family val="1"/>
      </rPr>
      <t>2. สามารถวิเคราะห์ได้ถึงข้อดีข้อเสียของและโอกาสพัฒนาในการทำเทคโนโลยีนั้นมาใช้ในการทำงาน</t>
    </r>
  </si>
  <si>
    <t>ไม่มีแผนในการทำงาน / ทำๆ ไปให้งานเสร็จก็พอ</t>
  </si>
  <si>
    <t>สามารถระบุ จัดเรียงความสำคัญของปัญหาที่ต้องแก้ก่อนหลังได้</t>
  </si>
  <si>
    <r>
      <t>1. วางแผนเป็นลำดับชัดเจน</t>
    </r>
    <r>
      <rPr>
        <sz val="16"/>
        <rFont val="Angsana New"/>
        <family val="1"/>
      </rPr>
      <t xml:space="preserve"> 2.</t>
    </r>
    <r>
      <rPr>
        <sz val="16"/>
        <color rgb="FFFF0000"/>
        <rFont val="Angsana New"/>
        <family val="1"/>
      </rPr>
      <t xml:space="preserve"> สอดคล้องกับเวลาและปริมาณตามความยากง่ายของงาน</t>
    </r>
  </si>
  <si>
    <r>
      <t xml:space="preserve">1. วางแผนเป็นลำดับชัดเจน 2. สอดคล้องกับเวลาและปริมาณงาน 3. </t>
    </r>
    <r>
      <rPr>
        <sz val="16"/>
        <color rgb="FFFF0000"/>
        <rFont val="Angsana New"/>
        <family val="1"/>
      </rPr>
      <t>มักได้ผลลัพธ์ที่ดีบ่อยครั้ง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</si>
  <si>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มีการลำดับแผนงานชัดเจน 2. เหมาะสมกับเวลาและปริมาณงาน 3. มักได้ผลลัพธ์ที่ดีบ่อยครั้ง 4. </t>
    </r>
    <r>
      <rPr>
        <sz val="16"/>
        <color rgb="FFFF0000"/>
        <rFont val="Angsana New"/>
        <family val="1"/>
      </rPr>
      <t>พร้อมคำนึงถึงผลกระทบที่จะเกิดรอบด้านและเตรียมวิธีแก้ไข</t>
    </r>
  </si>
  <si>
    <t xml:space="preserve">ถามคำตอบคำ/ ตอบตรงประเด็นน้อยกว่าครึ่งหนึ่งของคำถาม /จังหวะการพูดการสื่อสารทำให้ฟังยาก </t>
  </si>
  <si>
    <t>สื่อสารรู้เรื่อง เช่น เข้าใจเนื่อหาที่ผู้สมัครต้องการสื่อสาร</t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</si>
  <si>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เจราต่อรองกับคนในทีมและต่างทีมได้</t>
    </r>
  </si>
  <si>
    <r>
      <t xml:space="preserve">1. </t>
    </r>
    <r>
      <rPr>
        <sz val="16"/>
        <color rgb="FFFF0000"/>
        <rFont val="Angsana New"/>
        <family val="1"/>
      </rPr>
      <t>อธิบาย สิ่งต่างๆ ได้อย่างเป็นลำดับ</t>
    </r>
    <r>
      <rPr>
        <sz val="16"/>
        <color theme="1"/>
        <rFont val="Angsana New"/>
        <family val="1"/>
      </rPr>
      <t xml:space="preserve"> 2. ฟังเข้าใจง่าย 3. สื่อสารแนวความคิดที่ซับซ้อนได้คล่องแคล่ว 4.  เจราต่อรองกับคนในองค์กรได้</t>
    </r>
  </si>
  <si>
    <r>
      <t xml:space="preserve">มีทักษะการสื่อสารแบบองค์รวม คือ 1. สื่อสารแนวคิดที่ซับซ้อนได้เป็นลำดับเข้าใจง่าย 2. ถาม-ตอบตรงประเด็น 3. </t>
    </r>
    <r>
      <rPr>
        <sz val="16"/>
        <color rgb="FFEE0000"/>
        <rFont val="Angsana New"/>
        <family val="1"/>
      </rPr>
      <t>สร้างจุดดึงดูดและจูงใจให้ผู้คนสนใจฟังได้ในวงกว้าง เช่น ในที่ประชุม</t>
    </r>
  </si>
  <si>
    <t>ไม่กระตือรือร้น / บุคลิกเป็นคนคิดช้า/ ทำช้า/ ไม่พยายามไขว่คว้า /ทัศนคติไม่</t>
  </si>
  <si>
    <r>
      <t xml:space="preserve">กระตือรือร้นเฉพาะในช่วงใกล้ส่งงาน/ </t>
    </r>
    <r>
      <rPr>
        <sz val="16"/>
        <color rgb="FFFF0000"/>
        <rFont val="Angsana New"/>
        <family val="1"/>
      </rPr>
      <t>เฉพาะช่วงที่จำเป็น</t>
    </r>
  </si>
  <si>
    <r>
      <rPr>
        <sz val="16"/>
        <color rgb="FFFF0000"/>
        <rFont val="Angsana New"/>
        <family val="1"/>
      </rPr>
      <t>ชอบค้นคว้าหาความรู้ใหม่ๆ</t>
    </r>
    <r>
      <rPr>
        <sz val="16"/>
        <color theme="1"/>
        <rFont val="Angsana New"/>
        <family val="1"/>
      </rPr>
      <t xml:space="preserve"> ที่ตนเองสนใจ / </t>
    </r>
    <r>
      <rPr>
        <sz val="16"/>
        <color rgb="FFFF0000"/>
        <rFont val="Angsana New"/>
        <family val="1"/>
      </rPr>
      <t>พัฒนาทักษะต่างที่ตนเองเห็นว่าจำเป็น</t>
    </r>
    <r>
      <rPr>
        <sz val="16"/>
        <color theme="1"/>
        <rFont val="Angsana New"/>
        <family val="1"/>
      </rPr>
      <t xml:space="preserve"> / เริ่มทำงานทันทีเมื่อได้มอบหมาย</t>
    </r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</si>
  <si>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มัก</t>
    </r>
    <r>
      <rPr>
        <sz val="16"/>
        <color theme="1"/>
        <rFont val="Angsana New"/>
        <family val="1"/>
      </rPr>
      <t xml:space="preserve">ค้นคว้าหาความรู้ใหม่ๆ </t>
    </r>
    <r>
      <rPr>
        <sz val="16"/>
        <color rgb="FFFF0000"/>
        <rFont val="Angsana New"/>
        <family val="1"/>
      </rPr>
      <t>เป็นประจำ</t>
    </r>
    <r>
      <rPr>
        <sz val="16"/>
        <color theme="1"/>
        <rFont val="Angsana New"/>
        <family val="1"/>
      </rPr>
      <t xml:space="preserve">/ พัฒนาทักษะใหม่ๆ </t>
    </r>
    <r>
      <rPr>
        <sz val="16"/>
        <color rgb="FFFF0000"/>
        <rFont val="Angsana New"/>
        <family val="1"/>
      </rPr>
      <t>เป็นประจำ</t>
    </r>
    <r>
      <rPr>
        <sz val="16"/>
        <rFont val="Angsana New"/>
        <family val="1"/>
      </rPr>
      <t xml:space="preserve"> 2.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>เริ่มทำงานทันทีและ</t>
    </r>
    <r>
      <rPr>
        <sz val="16"/>
        <color rgb="FFFF0000"/>
        <rFont val="Angsana New"/>
        <family val="1"/>
      </rPr>
      <t>เสร็จก่อนเวลากำหนด</t>
    </r>
  </si>
  <si>
    <r>
      <t>1. มักค้นคว้าหาความรู้ใหม่ๆ เป็นประจำ/ พัฒนาทักษะใหม่ๆ เป็นประจำ 2. มักปฏิบัติงานทันทีและ</t>
    </r>
    <r>
      <rPr>
        <sz val="16"/>
        <color rgb="FFFF0000"/>
        <rFont val="Angsana New"/>
        <family val="1"/>
      </rPr>
      <t>มักจะทำงานเกินความคาดหวัง</t>
    </r>
  </si>
  <si>
    <t>ชอบทำงานคนเดียว/ ไม่ฟังความคิดเห็น /ไม่พูด / พูดไม่รู้เรื่อง</t>
  </si>
  <si>
    <r>
      <rPr>
        <sz val="16"/>
        <color rgb="FFFF0000"/>
        <rFont val="Angsana New"/>
        <family val="1"/>
      </rPr>
      <t xml:space="preserve">รับฟังความคิดเห็น </t>
    </r>
    <r>
      <rPr>
        <sz val="16"/>
        <color theme="1"/>
        <rFont val="Angsana New"/>
        <family val="1"/>
      </rPr>
      <t>แต่ยังยึดตนเป็นศุนย์กลางอยู่บ้าง/ ทัศนคติไม่ตรงกัน/ ตรรกะในการคิดแตกต่างกันอยู่บ้าง</t>
    </r>
  </si>
  <si>
    <r>
      <t>1. มีความยืดหยุ่น 2. พร้อมรับฟังความคิดเห็น</t>
    </r>
    <r>
      <rPr>
        <sz val="16"/>
        <color rgb="FFFF0000"/>
        <rFont val="Angsana New"/>
        <family val="1"/>
      </rPr>
      <t xml:space="preserve"> 3. สื่อสารกับทีมได้ดีพอประมาณ</t>
    </r>
  </si>
  <si>
    <r>
      <rPr>
        <sz val="16"/>
        <color rgb="FFFF0000"/>
        <rFont val="Angsana New"/>
        <family val="1"/>
      </rPr>
      <t>1. มีความยืดหยุ่น 2. สื่อสารกับทีมราบรื่น</t>
    </r>
    <r>
      <rPr>
        <sz val="16"/>
        <color theme="1"/>
        <rFont val="Angsana New"/>
        <family val="1"/>
      </rPr>
      <t xml:space="preserve"> 3.รับฟังความคิดเห็น 4. ทัศนคติดี 5.</t>
    </r>
    <r>
      <rPr>
        <sz val="16"/>
        <color rgb="FFFF0000"/>
        <rFont val="Angsana New"/>
        <family val="1"/>
      </rPr>
      <t>แสดงความคิดเห็นอย่างสร้างสรรค์</t>
    </r>
  </si>
  <si>
    <r>
      <t xml:space="preserve">1. สื่อสารกับทีมราบรื่น 2. รับฟังความคิดเห็น 3. ทัศนคติดี 4.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แสดงความคิดเห็นอย่างสร้างสรรค์ 5. </t>
    </r>
    <r>
      <rPr>
        <sz val="16"/>
        <color rgb="FFFF0000"/>
        <rFont val="Angsana New"/>
        <family val="1"/>
      </rPr>
      <t>พร้อมช่วยเหลือทีม</t>
    </r>
  </si>
  <si>
    <t>ไม่ชอบการเรียนรู้ / ไม่ค่อยเข้าใจในสิ่งที่เรียนรู้ / เข้าใจยาก</t>
  </si>
  <si>
    <r>
      <t>1. ใช้เวลาในการเรียนรู้ /ทำความเข้าใจในเรื่องง่ายได้</t>
    </r>
    <r>
      <rPr>
        <sz val="16"/>
        <color rgb="FFFF0000"/>
        <rFont val="Angsana New"/>
        <family val="1"/>
      </rPr>
      <t xml:space="preserve"> </t>
    </r>
    <r>
      <rPr>
        <sz val="16"/>
        <rFont val="Angsana New"/>
        <family val="1"/>
      </rPr>
      <t>2.</t>
    </r>
    <r>
      <rPr>
        <sz val="16"/>
        <color rgb="FFFF0000"/>
        <rFont val="Angsana New"/>
        <family val="1"/>
      </rPr>
      <t xml:space="preserve"> สามารถปรับใช้ได้ภายในเวลาที่เหมาะสม</t>
    </r>
  </si>
  <si>
    <r>
      <t>1. เข้าใจสิ่งที่มี</t>
    </r>
    <r>
      <rPr>
        <sz val="16"/>
        <color rgb="FFFF0000"/>
        <rFont val="Angsana New"/>
        <family val="1"/>
      </rPr>
      <t>ซับซ้อนได้รวดเร็ว</t>
    </r>
    <r>
      <rPr>
        <sz val="16"/>
        <color theme="1"/>
        <rFont val="Angsana New"/>
        <family val="1"/>
      </rPr>
      <t xml:space="preserve"> 2. </t>
    </r>
    <r>
      <rPr>
        <sz val="16"/>
        <rFont val="Angsana New"/>
        <family val="1"/>
      </rPr>
      <t>สามารถปรับใช้ได้ภายในเวลาที่เหมาะสม</t>
    </r>
  </si>
  <si>
    <r>
      <rPr>
        <sz val="16"/>
        <color rgb="FFFF0000"/>
        <rFont val="Angsana New"/>
        <family val="1"/>
      </rPr>
      <t>1. มักจะหาโอกาสเรียนรู้สิ่งใหม่</t>
    </r>
    <r>
      <rPr>
        <sz val="16"/>
        <color theme="1"/>
        <rFont val="Angsana New"/>
        <family val="1"/>
      </rPr>
      <t xml:space="preserve"> 2. เข้าใจสิ่งที่มีความซับซ้อนได้</t>
    </r>
    <r>
      <rPr>
        <sz val="16"/>
        <color rgb="FFFF0000"/>
        <rFont val="Angsana New"/>
        <family val="1"/>
      </rPr>
      <t>รวดเร็ว</t>
    </r>
  </si>
  <si>
    <r>
      <rPr>
        <sz val="16"/>
        <color rgb="FFFF0000"/>
        <rFont val="Angsana New"/>
        <family val="1"/>
      </rPr>
      <t>1. มีความรู้ / เทคโนโลยีใหม่ความรู้ใหม่ตามทันสถานการณ์โลก</t>
    </r>
    <r>
      <rPr>
        <sz val="16"/>
        <color theme="1"/>
        <rFont val="Angsana New"/>
        <family val="1"/>
      </rPr>
      <t xml:space="preserve"> 2.</t>
    </r>
    <r>
      <rPr>
        <sz val="16"/>
        <color rgb="FFFF0000"/>
        <rFont val="Angsana New"/>
        <family val="1"/>
      </rPr>
      <t xml:space="preserve"> </t>
    </r>
    <r>
      <rPr>
        <sz val="16"/>
        <color theme="1"/>
        <rFont val="Angsana New"/>
        <family val="1"/>
      </rPr>
      <t xml:space="preserve">เข้าใจสิ่งที่มีความซับซ้อนได้รวดเร็ว   </t>
    </r>
    <r>
      <rPr>
        <sz val="16"/>
        <color rgb="FFFF0000"/>
        <rFont val="Angsana New"/>
        <family val="1"/>
      </rPr>
      <t>3. มีความแม่นยำในการทำไปปรับใช้</t>
    </r>
  </si>
  <si>
    <t>ไม่อยากเรียนรู้เพิ่ม / เหนื่อกับการเรียนรู้สิ่งใหม่</t>
  </si>
  <si>
    <r>
      <t>มักพัฒนาเฉพาะทักษะที่จำ</t>
    </r>
    <r>
      <rPr>
        <sz val="16"/>
        <color rgb="FFFF0000"/>
        <rFont val="Angsana New"/>
        <family val="1"/>
      </rPr>
      <t>เป็นต้องใช้ในการทำงาน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</si>
  <si>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>จะศึกษาหาความรู้ใหม่ๆ ในสิ่งที่ตนเองชื่น</t>
    </r>
    <r>
      <rPr>
        <sz val="16"/>
        <color rgb="FFFF0000"/>
        <rFont val="Angsana New"/>
        <family val="1"/>
      </rPr>
      <t>ชอบ/ สนใจขณะนั้น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</si>
  <si>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จะศึกษาหาความรู้ใหม่ๆ เป็นประจำ </t>
    </r>
    <r>
      <rPr>
        <sz val="16"/>
        <color rgb="FFFF0000"/>
        <rFont val="Angsana New"/>
        <family val="1"/>
      </rPr>
      <t>ตามความก้าวหน้าของโลก</t>
    </r>
    <r>
      <rPr>
        <sz val="16"/>
        <color theme="1"/>
        <rFont val="Angsana New"/>
        <family val="1"/>
      </rPr>
      <t xml:space="preserve"> เพื่อพัฒนาตนเองอยู่เสมอ</t>
    </r>
  </si>
  <si>
    <r>
      <t xml:space="preserve">1. </t>
    </r>
    <r>
      <rPr>
        <sz val="16"/>
        <color rgb="FFFF0000"/>
        <rFont val="Angsana New"/>
        <family val="1"/>
      </rPr>
      <t>ก้าวทันความหน้าของโลก</t>
    </r>
    <r>
      <rPr>
        <sz val="16"/>
        <color theme="1"/>
        <rFont val="Angsana New"/>
        <family val="1"/>
      </rPr>
      <t xml:space="preserve"> 2. </t>
    </r>
    <r>
      <rPr>
        <sz val="16"/>
        <color rgb="FFFF0000"/>
        <rFont val="Angsana New"/>
        <family val="1"/>
      </rPr>
      <t>พยายามสร้างวัฒนธรรม</t>
    </r>
    <r>
      <rPr>
        <sz val="16"/>
        <color theme="1"/>
        <rFont val="Angsana New"/>
        <family val="1"/>
      </rPr>
      <t>การพัฒนาทักษะความรู้ เพื่อ</t>
    </r>
    <r>
      <rPr>
        <sz val="16"/>
        <color rgb="FFFF0000"/>
        <rFont val="Angsana New"/>
        <family val="1"/>
      </rPr>
      <t>โอกาสในการพัฒนาของทีมและองค์กร</t>
    </r>
  </si>
  <si>
    <t>ไม่ได้แสดงความใส่ต่อเป้าหมายของลูกค้า</t>
  </si>
  <si>
    <r>
      <t>พยายามหาความต้องการของลูกค้า</t>
    </r>
    <r>
      <rPr>
        <sz val="16"/>
        <color rgb="FFFF0000"/>
        <rFont val="Angsana New"/>
        <family val="1"/>
      </rPr>
      <t>อย่างเป็นมิตร</t>
    </r>
    <r>
      <rPr>
        <sz val="16"/>
        <color theme="1"/>
        <rFont val="Angsana New"/>
        <family val="1"/>
      </rPr>
      <t xml:space="preserve"> แต่</t>
    </r>
    <r>
      <rPr>
        <sz val="16"/>
        <color rgb="FFFF0000"/>
        <rFont val="Angsana New"/>
        <family val="1"/>
      </rPr>
      <t>ขาดการวิเคราะห์และรวบรวมข้อมูลที่ดี</t>
    </r>
  </si>
  <si>
    <r>
      <t>1. พยายามหาความต้องการของลูกค้าอย่างเป็นมิตร 2. ผ่านกระบวนการวิเคราะห์</t>
    </r>
    <r>
      <rPr>
        <sz val="16"/>
        <color rgb="FFFF0000"/>
        <rFont val="Angsana New"/>
        <family val="1"/>
      </rPr>
      <t>ตามข้อมูลพื้นฐาน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</si>
  <si>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รอบด้าน</t>
    </r>
  </si>
  <si>
    <r>
      <t xml:space="preserve">1. พยายามหาความต้องการของลูกค้า 2. ผ่านกระบวนการวิเคราะห์และรวบรวมข้อมูลรอบด้าน 3. </t>
    </r>
    <r>
      <rPr>
        <sz val="16"/>
        <color rgb="FFFF0000"/>
        <rFont val="Angsana New"/>
        <family val="1"/>
      </rPr>
      <t>มองเห็นจุดอ่อนจุดแข็งพร้อมเสนอแนวทางแก่ลูกค้า</t>
    </r>
  </si>
  <si>
    <t>งานไม่เสร็จตามกำหนด/ คุณภาพงานต่ำกว่ามาตราฐาน</t>
  </si>
  <si>
    <t>1. รับผิดชอบงานที่รับมอบหมาย 2. มุ่งมั่นงานให้มีคุณภาพ 3. ให้ความสำคัญกับเวลา</t>
  </si>
  <si>
    <t>1. มีความเป็นเจ้าของชิ้นงานที่รับผิดชอบ 2. ทำชิ้นงานที่มีคุณภาพเป็นประโยชน์ต่อทีมและลูกค้า 3.มองเห็นข้อควรปรับปรุงในชิ้นงาน</t>
  </si>
  <si>
    <t>1. ทำสำเร็จตามแผน 2. สามารถปรับตัวหรือรูปแบบของธุรกิจ/ ผลิตภัณฑ์ที่ดูแลอยู่ได้ 3. มีความรู้ในตัวของ Product / ทีมที่ดูแลอยู่เป็นอย่างดี</t>
  </si>
  <si>
    <t>สามารถนำเทคโนโลยีที่เกิดขึ้นใหม่ๆ มาสร้างความได้เปรียบเชิงธุรกิจ /ผลิตภัณฑ์ให้โดดเด่น และสามารถแข่งขันได้</t>
  </si>
  <si>
    <t>ไม่พูดความจริง/ ตอบคลุมเครือ</t>
  </si>
  <si>
    <r>
      <t>บอกความจริงกึ่งหนึ่ง/ พยายาม</t>
    </r>
    <r>
      <rPr>
        <sz val="16"/>
        <color rgb="FFFF0000"/>
        <rFont val="Angsana New"/>
        <family val="1"/>
      </rPr>
      <t>หลีกเลี่ยง</t>
    </r>
    <r>
      <rPr>
        <sz val="16"/>
        <color theme="1"/>
        <rFont val="Angsana New"/>
        <family val="1"/>
      </rPr>
      <t>การเล่าข้อผิดพลาด/ จุดอ่อนของตนเอง</t>
    </r>
  </si>
  <si>
    <r>
      <rPr>
        <sz val="16"/>
        <color rgb="FFFF0000"/>
        <rFont val="Angsana New"/>
        <family val="1"/>
      </rPr>
      <t>กล้า</t>
    </r>
    <r>
      <rPr>
        <sz val="16"/>
        <color theme="1"/>
        <rFont val="Angsana New"/>
        <family val="1"/>
      </rPr>
      <t>เล่าข้อผิดพลลาด/ จุดอ่อน จุดแข็งของตนเอง</t>
    </r>
  </si>
  <si>
    <r>
      <t xml:space="preserve">1. กล้าเล่าข้อผิดพลลาด/ จุดอ่อน จุดแข็งของตนเอง 2. </t>
    </r>
    <r>
      <rPr>
        <sz val="16"/>
        <color rgb="FFFF0000"/>
        <rFont val="Angsana New"/>
        <family val="1"/>
      </rPr>
      <t>มักไม่พูดในสิ่งที่ไม่รู้</t>
    </r>
  </si>
  <si>
    <r>
      <t>เป็นแบบอย่าง คือ 1. กล้าเล่าข้อผิดพลลาด/ จุดอ่อน จุดแข็งของตนเอง 2. ไม่พูดในสิ่งที่ไม่รู้ 3.</t>
    </r>
    <r>
      <rPr>
        <sz val="16"/>
        <color rgb="FFFF0000"/>
        <rFont val="Angsana New"/>
        <family val="1"/>
      </rPr>
      <t>พร้อมรายงานความไม่โปร่งใส</t>
    </r>
  </si>
  <si>
    <t>Freewill Solutions</t>
  </si>
  <si>
    <t>(List)</t>
  </si>
  <si>
    <t>ความฉับไวในการเรียนรู้ 
(Learning Agility)</t>
  </si>
  <si>
    <t>*ทักษะความสามารถที่จำเป็น</t>
  </si>
  <si>
    <t>แปลผล</t>
  </si>
  <si>
    <t>ช่วงคะแนน</t>
  </si>
  <si>
    <t>Below</t>
  </si>
  <si>
    <t>Meet</t>
  </si>
  <si>
    <t>ผลการประเมิน</t>
  </si>
  <si>
    <t>Exceed</t>
  </si>
  <si>
    <t>Suppervior:</t>
  </si>
  <si>
    <t>Master Name</t>
  </si>
  <si>
    <t>Can do (ตัด)</t>
  </si>
  <si>
    <t>Will do (ตัด)</t>
  </si>
  <si>
    <t>Will fit (ตัด)</t>
  </si>
  <si>
    <t>1. สามารถวิเคราะห์ข้อมูลเบื้องต้น 2.ตัดสินใจได้อย่างสมเหตุสมผลภายใต้พื้นฐานของข้อมูล</t>
  </si>
  <si>
    <t>1. สามารถวิเคราะห์แบบเจาะจงรายละเอียด 2. แยกแยะและเชื่อมโยงได้ 3. ถูกต้องตามพื้นฐานข้อมูล 4. ตัดสินใจได้สมเหตุสมผล</t>
  </si>
  <si>
    <r>
      <t>1. สามารถวิเคราะห์แบบเจาะจงรายละเอียดได้ 2. ถูกต้องตามพื้นฐานข้อมูล 3. แยกแยะและเชื่อมโยงข้อมูลได้ 4. ตัดสินใจได้สมเหตุสมผล 5.</t>
    </r>
    <r>
      <rPr>
        <sz val="16"/>
        <color rgb="FFFF0000"/>
        <rFont val="Angsana New"/>
        <family val="1"/>
      </rPr>
      <t xml:space="preserve"> คาดการปัญหาและวิธีแก้ไขในภาพรวมทั้งกระบวนการทำงาน</t>
    </r>
  </si>
  <si>
    <r>
      <t>1. วิเคราะห์ข้อมูลได้ครอบคลุมทุกองค์ประกอบและกระบวนการ 2. เจาะจงละเอียด</t>
    </r>
    <r>
      <rPr>
        <sz val="16"/>
        <color rgb="FFFF0000"/>
        <rFont val="Angsana New"/>
        <family val="1"/>
      </rPr>
      <t xml:space="preserve">ครบถ้วน </t>
    </r>
    <r>
      <rPr>
        <sz val="16"/>
        <color theme="1"/>
        <rFont val="Angsana New"/>
        <family val="1"/>
      </rPr>
      <t>3. ตัดสินใจโดยอิงข้อมูล</t>
    </r>
    <r>
      <rPr>
        <sz val="16"/>
        <color rgb="FFFF0000"/>
        <rFont val="Angsana New"/>
        <family val="1"/>
      </rPr>
      <t>เสมอ</t>
    </r>
    <r>
      <rPr>
        <sz val="16"/>
        <color theme="1"/>
        <rFont val="Angsana New"/>
        <family val="1"/>
      </rPr>
      <t xml:space="preserve"> 4. ปิดความเสี่ยงได้ดี 5. มีแผนการสำรองเสมอ</t>
    </r>
  </si>
  <si>
    <t>ความฉับไวในการเรียนรู้ (Learning Agility)</t>
  </si>
  <si>
    <t>แก้ไขปัญหา โดยศึกษาข้อมูลพื้นฐาน / ถามผู้รู้ เช่น ไล่ code แก้ bug ง่ายเองได้</t>
  </si>
  <si>
    <t>สามารถแก้ไขปัญหาที่ซับซ้อนปานกลางให้สำเร็จได้ด้วยตนเอง เช่น ไล่ code แก้ bug ที่มีความซับซ้อนเองได้</t>
  </si>
  <si>
    <t>Can do (List)</t>
  </si>
  <si>
    <t>Will do (List)</t>
  </si>
  <si>
    <t>Will fit (List)</t>
  </si>
  <si>
    <r>
      <t xml:space="preserve">มีทักษะความรู้บ้างเล็กน้อยถึงปานกลาง/ </t>
    </r>
    <r>
      <rPr>
        <sz val="16"/>
        <color rgb="FFFF0000"/>
        <rFont val="Angsana New"/>
        <family val="1"/>
      </rPr>
      <t xml:space="preserve">ต้องมีคนแนะนำ </t>
    </r>
    <r>
      <rPr>
        <sz val="16"/>
        <color theme="1"/>
        <rFont val="Angsana New"/>
        <family val="1"/>
      </rPr>
      <t>เช่น เข้าใจหลักการของการแก้ไขปัญหาง่ายๆ</t>
    </r>
  </si>
  <si>
    <r>
      <t>มีทักษะและความรู้เชิงลึก</t>
    </r>
    <r>
      <rPr>
        <sz val="16"/>
        <color rgb="FFFF0000"/>
        <rFont val="Angsana New"/>
        <family val="1"/>
      </rPr>
      <t>เหมาะสมกับลักษณะงาน</t>
    </r>
    <r>
      <rPr>
        <sz val="16"/>
        <color theme="1"/>
        <rFont val="Angsana New"/>
        <family val="1"/>
      </rPr>
      <t xml:space="preserve"> คือ 1. รู้หลัการในการปฏิบัติอย่างละเอียด/ มีความรู้เรื่องนั้นอย่างละเอียด 2. ปฏิบัติได้ดี</t>
    </r>
  </si>
  <si>
    <r>
      <t xml:space="preserve">1. วางแผนเป็นลำดับชัดเจน 2. สอดคล้องกับเวลาและปริมาณงาน </t>
    </r>
    <r>
      <rPr>
        <sz val="16"/>
        <color rgb="FFEE0000"/>
        <rFont val="Angsana New"/>
        <family val="1"/>
      </rPr>
      <t>3. สอดคล้องกับกระบวนการทำงานในภาพรวมของทีม</t>
    </r>
    <r>
      <rPr>
        <sz val="16"/>
        <color theme="1"/>
        <rFont val="Angsana New"/>
        <family val="1"/>
      </rPr>
      <t xml:space="preserve"> 4. </t>
    </r>
    <r>
      <rPr>
        <sz val="16"/>
        <color rgb="FFFF0000"/>
        <rFont val="Angsana New"/>
        <family val="1"/>
      </rPr>
      <t>มักได้ผลลัพธ์ที่ดีบ่อยครั้ง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</si>
  <si>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มีการลำดับแผนงานชัดเจน 2. เหมาะสมกับเวลาและปริมาณงาน 3. สอดคล้องกับกระบวนการทำงานในภาพรวมของทีม 4. มักได้ผลลัพธ์ที่ดีบ่อยครั้ง 5. </t>
    </r>
    <r>
      <rPr>
        <sz val="16"/>
        <color rgb="FFFF0000"/>
        <rFont val="Angsana New"/>
        <family val="1"/>
      </rPr>
      <t>พร้อมคำนึงถึงผลกระทบที่จะเกิดรอบด้านและเตรียมวิธีแก้ไข</t>
    </r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</si>
  <si>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เจราต่อรอง/ ประสานงานกับคนในทีมและต่างทีมได้</t>
    </r>
  </si>
  <si>
    <r>
      <t xml:space="preserve">1. </t>
    </r>
    <r>
      <rPr>
        <sz val="16"/>
        <color rgb="FFFF0000"/>
        <rFont val="Angsana New"/>
        <family val="1"/>
      </rPr>
      <t>อธิบาย สิ่งต่างๆ ได้อย่างเป็นลำดับ</t>
    </r>
    <r>
      <rPr>
        <sz val="16"/>
        <color theme="1"/>
        <rFont val="Angsana New"/>
        <family val="1"/>
      </rPr>
      <t xml:space="preserve"> 2. ฟังเข้าใจง่าย 3. สื่อสารแนวความคิดที่ซับซ้อนได้คล่องแคล่ว 4.  เจราต่อรอง/ ประสานงานกับคนในองค์กรได้</t>
    </r>
  </si>
  <si>
    <r>
      <t>1.</t>
    </r>
    <r>
      <rPr>
        <sz val="16"/>
        <color rgb="FFEE0000"/>
        <rFont val="Angsana New"/>
        <family val="1"/>
      </rPr>
      <t xml:space="preserve"> มัก</t>
    </r>
    <r>
      <rPr>
        <sz val="16"/>
        <color theme="1"/>
        <rFont val="Angsana New"/>
        <family val="1"/>
      </rPr>
      <t xml:space="preserve">ค้นคว้าหาความรู้ใหม่ๆ เป็นประจำ/ พัฒนาทักษะใหม่ๆ เป็นประจำ 2. </t>
    </r>
    <r>
      <rPr>
        <sz val="16"/>
        <color rgb="FFEE0000"/>
        <rFont val="Angsana New"/>
        <family val="1"/>
      </rPr>
      <t>มัก</t>
    </r>
    <r>
      <rPr>
        <sz val="16"/>
        <color theme="1"/>
        <rFont val="Angsana New"/>
        <family val="1"/>
      </rPr>
      <t>ปฏิบัติงานทันทีและ</t>
    </r>
    <r>
      <rPr>
        <sz val="16"/>
        <color rgb="FFFF0000"/>
        <rFont val="Angsana New"/>
        <family val="1"/>
      </rPr>
      <t>มักจะทำงานเกินความคาดหวัง</t>
    </r>
  </si>
  <si>
    <r>
      <t xml:space="preserve">1. สื่อสารกับทีมราบรื่น 2. รับฟังความคิดเห็น 3. ทัศนคติดี 4.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แสดงความคิดเห็นอย่างสร้างสรรค์ 5. </t>
    </r>
    <r>
      <rPr>
        <sz val="16"/>
        <color rgb="FFEE0000"/>
        <rFont val="Angsana New"/>
        <family val="1"/>
      </rPr>
      <t>พร้อมช่วยเหลือทีมเสมอ</t>
    </r>
  </si>
  <si>
    <r>
      <t>พยายามหาความต้องการของลูกค้า</t>
    </r>
    <r>
      <rPr>
        <sz val="16"/>
        <color rgb="FFFF0000"/>
        <rFont val="Angsana New"/>
        <family val="1"/>
      </rPr>
      <t>อย่างเป็นมิตร</t>
    </r>
    <r>
      <rPr>
        <sz val="16"/>
        <color theme="1"/>
        <rFont val="Angsana New"/>
        <family val="1"/>
      </rPr>
      <t xml:space="preserve"> แต่ต้องพัฒนาทักษะด้าน</t>
    </r>
    <r>
      <rPr>
        <sz val="16"/>
        <color rgb="FFFF0000"/>
        <rFont val="Angsana New"/>
        <family val="1"/>
      </rPr>
      <t>การวิเคราะห์และรวบรวมข้อมูล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</si>
  <si>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ตามข้อมูลพื้นฐาน</t>
    </r>
    <r>
      <rPr>
        <sz val="16"/>
        <color theme="1"/>
        <rFont val="Angsana New"/>
        <family val="1"/>
      </rPr>
      <t>ข้อมูล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</si>
  <si>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รอบด้าน</t>
    </r>
    <r>
      <rPr>
        <sz val="16"/>
        <color theme="1"/>
        <rFont val="Angsana New"/>
        <family val="1"/>
      </rPr>
      <t xml:space="preserve"> / ข้อมูลเชิงลึก 3. มองเห็นจุดอ่อนจุดแข็งพร้อมเสนอแนวทางแก่ลูกค้าในระดับชิ้นงาน</t>
    </r>
  </si>
  <si>
    <r>
      <t xml:space="preserve">1. พยายามหาความต้องการของลูกค้า 2. ผ่านกระบวนการวิเคราะห์และรวบรวมข้อมูลรอบด้าน 3. </t>
    </r>
    <r>
      <rPr>
        <sz val="16"/>
        <color rgb="FFFF0000"/>
        <rFont val="Angsana New"/>
        <family val="1"/>
      </rPr>
      <t>มองเห็นจุดอ่อนจุดแข็งพร้อมเสนอแนวทางแก่ลูกค้าในระดับภาคธุรกิจ</t>
    </r>
  </si>
  <si>
    <t>1. มีความเป็นเจ้าของชิ้นงานที่รับผิดชอบ 2. ทำชิ้นงานที่มีคุณภาพเป็นประโยชน์ต่อทีมและลูกค้า 3.มองเห็นข้อควรระวังและปรับปรุงในชิ้นงาน</t>
  </si>
  <si>
    <t>1. ทำสำเร็จตามแผน 2. สามารถปรับตัวให้เข้ากับรูปแบบของธุรกิจ/ ผลิตภัณฑ์ที่ดูแลอยู่ได้ 3. มีความรู้ในตัวของ Product / ทีมที่ดูแลอยู่เป็นอย่างดี</t>
  </si>
  <si>
    <t>ข้อ</t>
  </si>
  <si>
    <t>สมรรถนะหลัก</t>
  </si>
  <si>
    <t>ระดับ</t>
  </si>
  <si>
    <t>พฤติกรรมขณะสัมภาษณ์</t>
  </si>
  <si>
    <t>ทีมตรวจสอบและแก้ไข</t>
  </si>
  <si>
    <t>สรุป ความคาดหวัง</t>
  </si>
  <si>
    <t xml:space="preserve">• ความสามารถตัดสินใจอย่างมีเหตุผล โดยผ่านการวิเคราะห์ ประมวลข้อมูล และสรุปประเด็นสำคัญ
</t>
  </si>
  <si>
    <t>• การคิดจำแนกแจกแจงองค์ประกอบต่างๆ ของปัญหาออกเป็นประเด็นย่อยๆ ในหลายๆแง่มุม แล้วนำมาวิเคราะห์และเชื่อมโยง</t>
  </si>
  <si>
    <t>• การวิเคราะห์และตัดสินใจบนพื้นฐานของข้อมูลอย่างสมเหตุสมผล</t>
  </si>
  <si>
    <t xml:space="preserve">• การวิเคราะห์สถานการณ์และการคิดอย่างเป็นระบบ
</t>
  </si>
  <si>
    <t>• กระบวนการคิดและลงมือปฏิบัติเพื่อหาทางออกที่ดีที่สุดสำหรับสถานการณ์ที่ยากลำบากหรือมีอุปสรรค</t>
  </si>
  <si>
    <t>• ความคิดสร้างสรรค์ในการหาทางออก</t>
  </si>
  <si>
    <t xml:space="preserve">• กำหนดเป้าหมาย การวิเคราะห์สถานการณ์ การกำหนดแนวทาง และการจัดสรรทรัพยากร </t>
  </si>
  <si>
    <t>• ความกระตือรือร้นที่จะทำงาน หาความรู้ และพยายามค้นหาวิธีการรับมือกับปัญหา</t>
  </si>
  <si>
    <t xml:space="preserve">• สามารถปรับตัวทำงานร่วมกับทีมได้ดี
</t>
  </si>
  <si>
    <t>• พร้อมรับฟังและยอมรับความเห็นต่าง</t>
  </si>
  <si>
    <t>• ความสามารถในการเรียนรู้ ปรับตัว และประยุกต์ใช้ความรู้ใหม่ๆ ได้อย่างรวดเร็วและมีประสิทธิภาพ</t>
  </si>
  <si>
    <t xml:space="preserve">• การยอมรับหน้าที่และภาระผูกพันที่จะทำให้งานสำเร็จตามเป้าหมายที่กำหนดไว้ </t>
  </si>
  <si>
    <t>Business Process Modeling</t>
  </si>
  <si>
    <t>ต่ำกว่าความคาดหวัง</t>
  </si>
  <si>
    <t>วิเคราะห์ As-Is / ออกแบบ To-Be, ใช้ BPMN, Flowchart, Swimlane</t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</si>
  <si>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สื่อสารได้อย่างคล่องแคล่วชัดเจน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เจราต่อรอง/ ประสานงานกับคนในทีมและต่างทีมได้</t>
    </r>
    <r>
      <rPr>
        <sz val="16"/>
        <color theme="1"/>
        <rFont val="Angsana New"/>
        <family val="1"/>
      </rPr>
      <t xml:space="preserve"> </t>
    </r>
  </si>
  <si>
    <t>SQL Syntax (Basic)</t>
  </si>
  <si>
    <t>ไม่มีความรู้ความสามารถที่เกี่ยวข้องกับ SQL / หรือมีเล็กน้อยจนไม่สามารถใช้ทำงานได้</t>
  </si>
  <si>
    <t xml:space="preserve">มีความรู้ระดับพื้นฐาน SQL เช่น สามารถใช้ SELECT, JOIN, WHERE, GROUP BY, INSERT, UPDATE, DELETE </t>
  </si>
  <si>
    <t>มีความรู้ในการใช้คำสั่ง SQL ระดับปานกลาง เช่น สามารถใช้คำสั่ง SELECT, JOIN, WHERE, GROUP BY, INSERT, UPDATE, DELETE ได้อย่างถูกต้อง</t>
  </si>
  <si>
    <t>มีความรู้ในการใช้คำสั่ง SQL ระดับสูง เช่น 1. สามารถใช้คำสั่งทั้งหมดใน SQL ได้อย่างถูกต้อง 2. มีประสบการณ์ในการใช้งานไม่น้อยกว่า 2 ปี และ 3. ต้องใช้เป็นประจำ</t>
  </si>
  <si>
    <t>มีความรู้ในการใช้คำสั่ง SQL ระดับเชี่ยวชาญ 1. สามารถใช้คำสั่งทั้งหมดใน SQL ได้อย่างถูกต้อง 2. มีความคล่องแคล่วและรวดเร็วในการเรียกใช้คำสั่ง 3. ข้อมูลนั้นมีความพร้อมต่อการนำไปวิเคราะห์ต่อได้ / ออกแบบตารางได้เหมาะสมกับการรองรับข้อมูล 4. มีประการณ์ไม่น้อยกว่า 2 ปี</t>
  </si>
  <si>
    <t>UX/UI</t>
  </si>
  <si>
    <t>สามารถเข้าใจและ design UX/UI ของ Function และ Journey ได้</t>
  </si>
  <si>
    <t>มีความเชี่ยวชาญในระดับสูงในการวิเคราะห์ As-Is / ออกแบบ To-Be, ใช้ BPMN, Flowchart, Swimlane และอื่นๆ เช่น ความสามารถในการออกแบบ Flowchart โดยใช้เวลาที่รวดเร็วและถูกต้องตาม Requirement</t>
  </si>
  <si>
    <t>เกินความคาดหวัง</t>
  </si>
  <si>
    <t>API Basics</t>
  </si>
  <si>
    <t xml:space="preserve">	
เข้าใจ REST/JSON/XML, Method เช่น GET, POST, PUT, DELETE</t>
  </si>
  <si>
    <t>Domain Knowledge</t>
  </si>
  <si>
    <t>เข้าใจธุรกิจ/อุตสาหกรรมที่เกี่ยวข้อง เช่น Finance, HR, E-commerce</t>
  </si>
  <si>
    <t>Empathy &amp; Stakeholder Understanding</t>
  </si>
  <si>
    <t>เข้าใจมุมมองผู้ใช้และทีมพัฒนา</t>
  </si>
  <si>
    <t>Basic Query Optimization</t>
  </si>
  <si>
    <t>รู้หลัก Index, Execution Plan พื้นฐาน</t>
  </si>
  <si>
    <t>Software Implementer &amp; SA</t>
  </si>
  <si>
    <t>Nattapong</t>
  </si>
  <si>
    <t>Software Engineer</t>
  </si>
  <si>
    <t>Ms. Jiraporn Chinphirasathian</t>
  </si>
  <si>
    <t>INS</t>
  </si>
  <si>
    <t>Implementer#2</t>
  </si>
  <si>
    <t>Upakit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</si>
</sst>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42" x14ac:knownFonts="1">
    <font>
      <sz val="11"/>
      <color theme="1"/>
      <name val="Aptos Narrow"/>
      <family val="2"/>
      <scheme val="minor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sz val="16"/>
      <color theme="1"/>
      <name val="Aptos Narrow"/>
      <family val="2"/>
      <scheme val="minor"/>
    </font>
    <font>
      <b/>
      <sz val="20"/>
      <color theme="1"/>
      <name val="Angsana New"/>
      <family val="1"/>
    </font>
    <font>
      <b/>
      <u/>
      <sz val="20"/>
      <name val="Angsana New"/>
      <family val="1"/>
    </font>
    <font>
      <sz val="18"/>
      <color theme="1"/>
      <name val="Angsana New"/>
      <family val="1"/>
    </font>
    <font>
      <b/>
      <u/>
      <sz val="20"/>
      <color theme="1"/>
      <name val="Angsana New"/>
      <family val="1"/>
    </font>
    <font>
      <sz val="20"/>
      <color theme="1"/>
      <name val="Angsana New"/>
      <family val="1"/>
    </font>
    <font>
      <b/>
      <sz val="16"/>
      <name val="Angsana New"/>
      <family val="1"/>
    </font>
    <font>
      <sz val="16"/>
      <name val="Angsana New"/>
      <family val="1"/>
    </font>
    <font>
      <b/>
      <u/>
      <sz val="14"/>
      <color theme="1"/>
      <name val="Tahoma"/>
      <family val="2"/>
    </font>
    <font>
      <sz val="14"/>
      <color theme="1"/>
      <name val="Tahoma"/>
      <family val="2"/>
    </font>
    <font>
      <u/>
      <sz val="14"/>
      <color theme="1"/>
      <name val="Tahoma"/>
      <family val="2"/>
    </font>
    <font>
      <u/>
      <sz val="16"/>
      <color theme="1"/>
      <name val="Angsana New"/>
      <family val="1"/>
    </font>
    <font>
      <b/>
      <u/>
      <sz val="24"/>
      <color theme="1"/>
      <name val="Angsana New"/>
      <family val="1"/>
    </font>
    <font>
      <b/>
      <sz val="18"/>
      <color indexed="81"/>
      <name val="Angsana New"/>
      <family val="1"/>
    </font>
    <font>
      <sz val="18"/>
      <color indexed="81"/>
      <name val="Angsana New"/>
      <family val="1"/>
    </font>
    <font>
      <b/>
      <sz val="24"/>
      <color theme="1"/>
      <name val="Angsana New"/>
      <family val="1"/>
    </font>
    <font>
      <sz val="24"/>
      <color theme="1"/>
      <name val="Angsana New"/>
      <family val="1"/>
    </font>
    <font>
      <sz val="16"/>
      <color theme="1"/>
      <name val="Tahoma"/>
      <family val="2"/>
    </font>
    <font>
      <b/>
      <sz val="18"/>
      <color rgb="FFFF0000"/>
      <name val="Angsana New"/>
      <family val="1"/>
    </font>
    <font>
      <b/>
      <u/>
      <sz val="20"/>
      <color rgb="FFFF0000"/>
      <name val="Angsana New"/>
      <family val="1"/>
    </font>
    <font>
      <sz val="16"/>
      <color rgb="FFFF0000"/>
      <name val="Angsana New"/>
      <family val="1"/>
    </font>
    <font>
      <u/>
      <sz val="16"/>
      <name val="Angsana New"/>
      <family val="1"/>
    </font>
    <font>
      <sz val="18"/>
      <name val="Angsana New"/>
      <family val="1"/>
    </font>
    <font>
      <sz val="22"/>
      <color theme="1"/>
      <name val="Angsana New"/>
      <family val="1"/>
    </font>
    <font>
      <sz val="22"/>
      <name val="Angsana New"/>
      <family val="1"/>
    </font>
    <font>
      <sz val="28"/>
      <color theme="1"/>
      <name val="Angsana New"/>
      <family val="1"/>
    </font>
    <font>
      <sz val="28"/>
      <color rgb="FFFF0000"/>
      <name val="Angsana New"/>
      <family val="1"/>
    </font>
    <font>
      <sz val="28"/>
      <name val="Angsana New"/>
      <family val="1"/>
    </font>
    <font>
      <sz val="16"/>
      <color rgb="FFEE0000"/>
      <name val="Angsana New"/>
      <family val="1"/>
    </font>
    <font>
      <sz val="20"/>
      <name val="Angsana New"/>
      <family val="1"/>
    </font>
    <font>
      <b/>
      <sz val="26"/>
      <color theme="1"/>
      <name val="Angsana New"/>
      <family val="1"/>
    </font>
    <font>
      <b/>
      <sz val="26"/>
      <name val="Angsana New"/>
      <family val="1"/>
    </font>
    <font>
      <b/>
      <sz val="24"/>
      <name val="Angsana New"/>
      <family val="1"/>
    </font>
    <font>
      <u/>
      <sz val="18"/>
      <name val="Angsana New"/>
      <family val="1"/>
    </font>
    <font>
      <u/>
      <sz val="18"/>
      <color theme="1"/>
      <name val="Angsana New"/>
      <family val="1"/>
    </font>
    <font>
      <sz val="18"/>
      <color rgb="FFEE0000"/>
      <name val="Angsana New"/>
      <family val="1"/>
    </font>
    <font>
      <sz val="18"/>
      <name val="Aptos Narrow"/>
      <family val="2"/>
    </font>
    <font>
      <sz val="12"/>
      <color rgb="FF000000"/>
      <name val="Aptos"/>
      <family val="2"/>
    </font>
    <font>
      <b/>
      <sz val="18"/>
      <color theme="1"/>
      <name val="Angsana New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CCC"/>
        <bgColor indexed="64"/>
      </patternFill>
    </fill>
    <fill>
      <patternFill patternType="solid">
        <fgColor rgb="FFF5D6CC"/>
        <bgColor indexed="64"/>
      </patternFill>
    </fill>
    <fill>
      <patternFill patternType="solid">
        <fgColor rgb="FFEBE0CC"/>
        <bgColor indexed="64"/>
      </patternFill>
    </fill>
    <fill>
      <patternFill patternType="solid">
        <fgColor rgb="FFE0EBCC"/>
        <bgColor indexed="64"/>
      </patternFill>
    </fill>
    <fill>
      <patternFill patternType="solid">
        <fgColor rgb="FFD6F5CC"/>
        <bgColor indexed="64"/>
      </patternFill>
    </fill>
    <fill>
      <patternFill patternType="solid">
        <fgColor rgb="FFCCFFCC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7">
    <xf numFmtId="0" fontId="0" fillId="0" borderId="0" xfId="0"/>
    <xf numFmtId="0" fontId="3" fillId="0" borderId="0" xfId="0" applyFont="1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0" fillId="2" borderId="12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12" fillId="2" borderId="0" xfId="0" applyFont="1" applyFill="1"/>
    <xf numFmtId="0" fontId="12" fillId="0" borderId="0" xfId="0" applyFont="1"/>
    <xf numFmtId="0" fontId="11" fillId="2" borderId="0" xfId="0" applyFont="1" applyFill="1"/>
    <xf numFmtId="0" fontId="12" fillId="2" borderId="18" xfId="0" applyFont="1" applyFill="1" applyBorder="1" applyAlignment="1">
      <alignment vertical="center"/>
    </xf>
    <xf numFmtId="0" fontId="12" fillId="2" borderId="21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3" fillId="2" borderId="9" xfId="0" applyFont="1" applyFill="1" applyBorder="1" applyAlignment="1">
      <alignment vertical="center"/>
    </xf>
    <xf numFmtId="0" fontId="13" fillId="2" borderId="9" xfId="0" applyFont="1" applyFill="1" applyBorder="1"/>
    <xf numFmtId="0" fontId="14" fillId="2" borderId="9" xfId="0" applyFont="1" applyFill="1" applyBorder="1"/>
    <xf numFmtId="0" fontId="15" fillId="2" borderId="21" xfId="0" applyFont="1" applyFill="1" applyBorder="1"/>
    <xf numFmtId="0" fontId="15" fillId="2" borderId="0" xfId="0" applyFont="1" applyFill="1"/>
    <xf numFmtId="0" fontId="19" fillId="2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7" xfId="0" applyBorder="1" applyAlignment="1">
      <alignment horizontal="center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horizontal="left" vertical="top" wrapText="1"/>
    </xf>
    <xf numFmtId="0" fontId="0" fillId="0" borderId="17" xfId="0" applyBorder="1" applyAlignment="1">
      <alignment horizontal="left"/>
    </xf>
    <xf numFmtId="0" fontId="0" fillId="0" borderId="17" xfId="0" applyBorder="1"/>
    <xf numFmtId="0" fontId="0" fillId="0" borderId="12" xfId="0" applyBorder="1" applyAlignment="1">
      <alignment wrapText="1"/>
    </xf>
    <xf numFmtId="0" fontId="20" fillId="2" borderId="0" xfId="0" applyFont="1" applyFill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2" borderId="9" xfId="0" applyFont="1" applyFill="1" applyBorder="1" applyAlignment="1">
      <alignment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0" xfId="0" applyBorder="1"/>
    <xf numFmtId="0" fontId="2" fillId="2" borderId="2" xfId="0" applyFont="1" applyFill="1" applyBorder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2" xfId="0" applyFont="1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2" fillId="2" borderId="12" xfId="0" applyFont="1" applyFill="1" applyBorder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2" borderId="17" xfId="0" applyFont="1" applyFill="1" applyBorder="1" applyAlignment="1">
      <alignment horizontal="left" vertical="top"/>
    </xf>
    <xf numFmtId="0" fontId="2" fillId="2" borderId="17" xfId="0" applyFont="1" applyFill="1" applyBorder="1"/>
    <xf numFmtId="0" fontId="2" fillId="2" borderId="17" xfId="0" applyFont="1" applyFill="1" applyBorder="1" applyAlignment="1">
      <alignment wrapText="1"/>
    </xf>
    <xf numFmtId="0" fontId="2" fillId="2" borderId="20" xfId="0" applyFont="1" applyFill="1" applyBorder="1"/>
    <xf numFmtId="0" fontId="2" fillId="2" borderId="20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vertical="center"/>
    </xf>
    <xf numFmtId="0" fontId="2" fillId="2" borderId="20" xfId="0" applyFont="1" applyFill="1" applyBorder="1" applyAlignment="1">
      <alignment wrapText="1"/>
    </xf>
    <xf numFmtId="0" fontId="2" fillId="2" borderId="19" xfId="0" applyFont="1" applyFill="1" applyBorder="1"/>
    <xf numFmtId="0" fontId="1" fillId="2" borderId="20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2" fillId="2" borderId="17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2" fillId="2" borderId="20" xfId="0" applyFont="1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left" vertical="top"/>
    </xf>
    <xf numFmtId="0" fontId="2" fillId="5" borderId="20" xfId="0" applyFont="1" applyFill="1" applyBorder="1"/>
    <xf numFmtId="0" fontId="2" fillId="5" borderId="20" xfId="0" applyFont="1" applyFill="1" applyBorder="1" applyAlignment="1">
      <alignment wrapText="1"/>
    </xf>
    <xf numFmtId="0" fontId="2" fillId="2" borderId="14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2" borderId="22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3" fillId="0" borderId="7" xfId="0" applyFont="1" applyBorder="1" applyAlignment="1">
      <alignment horizontal="center" vertical="center"/>
    </xf>
    <xf numFmtId="0" fontId="2" fillId="0" borderId="0" xfId="0" applyFont="1"/>
    <xf numFmtId="0" fontId="23" fillId="0" borderId="7" xfId="0" applyFont="1" applyBorder="1"/>
    <xf numFmtId="0" fontId="2" fillId="0" borderId="7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0" fillId="0" borderId="0" xfId="0" applyAlignment="1">
      <alignment horizontal="left"/>
    </xf>
    <xf numFmtId="0" fontId="2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3" borderId="17" xfId="0" applyFont="1" applyFill="1" applyBorder="1"/>
    <xf numFmtId="0" fontId="2" fillId="3" borderId="17" xfId="0" applyFont="1" applyFill="1" applyBorder="1" applyAlignment="1">
      <alignment horizontal="left" vertical="center"/>
    </xf>
    <xf numFmtId="0" fontId="2" fillId="3" borderId="17" xfId="0" applyFont="1" applyFill="1" applyBorder="1" applyAlignment="1">
      <alignment wrapText="1"/>
    </xf>
    <xf numFmtId="0" fontId="10" fillId="2" borderId="20" xfId="0" applyFont="1" applyFill="1" applyBorder="1" applyAlignment="1">
      <alignment horizontal="left" vertical="center" wrapText="1"/>
    </xf>
    <xf numFmtId="0" fontId="8" fillId="6" borderId="9" xfId="0" applyFont="1" applyFill="1" applyBorder="1"/>
    <xf numFmtId="0" fontId="2" fillId="6" borderId="9" xfId="0" applyFont="1" applyFill="1" applyBorder="1"/>
    <xf numFmtId="0" fontId="26" fillId="2" borderId="0" xfId="0" applyFont="1" applyFill="1" applyAlignment="1">
      <alignment horizontal="right"/>
    </xf>
    <xf numFmtId="0" fontId="6" fillId="8" borderId="19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 wrapText="1"/>
    </xf>
    <xf numFmtId="0" fontId="6" fillId="8" borderId="17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/>
    </xf>
    <xf numFmtId="0" fontId="27" fillId="2" borderId="0" xfId="0" applyFont="1" applyFill="1" applyAlignment="1">
      <alignment vertical="top"/>
    </xf>
    <xf numFmtId="0" fontId="4" fillId="8" borderId="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right"/>
    </xf>
    <xf numFmtId="0" fontId="8" fillId="0" borderId="0" xfId="0" applyFont="1"/>
    <xf numFmtId="0" fontId="8" fillId="2" borderId="10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0" xfId="0" applyBorder="1"/>
    <xf numFmtId="0" fontId="0" fillId="9" borderId="19" xfId="0" applyFill="1" applyBorder="1" applyAlignment="1">
      <alignment wrapText="1"/>
    </xf>
    <xf numFmtId="0" fontId="0" fillId="0" borderId="20" xfId="0" applyBorder="1" applyAlignment="1">
      <alignment wrapText="1"/>
    </xf>
    <xf numFmtId="0" fontId="0" fillId="9" borderId="20" xfId="0" applyFill="1" applyBorder="1" applyAlignment="1">
      <alignment wrapText="1"/>
    </xf>
    <xf numFmtId="0" fontId="0" fillId="0" borderId="14" xfId="0" applyBorder="1"/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/>
    <xf numFmtId="0" fontId="0" fillId="0" borderId="5" xfId="0" applyBorder="1" applyAlignment="1">
      <alignment horizontal="center" vertical="center"/>
    </xf>
    <xf numFmtId="0" fontId="6" fillId="2" borderId="17" xfId="0" applyFont="1" applyFill="1" applyBorder="1" applyAlignment="1">
      <alignment vertical="top"/>
    </xf>
    <xf numFmtId="0" fontId="8" fillId="15" borderId="5" xfId="0" applyFont="1" applyFill="1" applyBorder="1" applyAlignment="1">
      <alignment vertical="center"/>
    </xf>
    <xf numFmtId="0" fontId="8" fillId="14" borderId="5" xfId="0" applyFont="1" applyFill="1" applyBorder="1"/>
    <xf numFmtId="1" fontId="8" fillId="13" borderId="5" xfId="0" applyNumberFormat="1" applyFont="1" applyFill="1" applyBorder="1" applyAlignment="1">
      <alignment vertical="center"/>
    </xf>
    <xf numFmtId="0" fontId="8" fillId="12" borderId="5" xfId="0" applyFont="1" applyFill="1" applyBorder="1" applyAlignment="1">
      <alignment vertical="center"/>
    </xf>
    <xf numFmtId="0" fontId="32" fillId="11" borderId="5" xfId="0" applyFont="1" applyFill="1" applyBorder="1" applyAlignment="1">
      <alignment vertical="center"/>
    </xf>
    <xf numFmtId="0" fontId="8" fillId="10" borderId="11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right" vertical="center"/>
    </xf>
    <xf numFmtId="0" fontId="4" fillId="2" borderId="14" xfId="0" applyFont="1" applyFill="1" applyBorder="1" applyAlignment="1">
      <alignment horizontal="right" vertical="center"/>
    </xf>
    <xf numFmtId="0" fontId="4" fillId="2" borderId="19" xfId="0" applyFont="1" applyFill="1" applyBorder="1" applyAlignment="1">
      <alignment horizontal="right" vertical="center"/>
    </xf>
    <xf numFmtId="0" fontId="15" fillId="2" borderId="12" xfId="0" applyFont="1" applyFill="1" applyBorder="1"/>
    <xf numFmtId="0" fontId="12" fillId="2" borderId="11" xfId="0" applyFont="1" applyFill="1" applyBorder="1" applyAlignment="1">
      <alignment vertical="center"/>
    </xf>
    <xf numFmtId="0" fontId="12" fillId="2" borderId="12" xfId="0" applyFont="1" applyFill="1" applyBorder="1" applyAlignment="1">
      <alignment vertical="center"/>
    </xf>
    <xf numFmtId="0" fontId="6" fillId="2" borderId="0" xfId="0" applyFont="1" applyFill="1" applyAlignment="1">
      <alignment vertical="center" wrapText="1"/>
    </xf>
    <xf numFmtId="0" fontId="39" fillId="2" borderId="0" xfId="0" applyFont="1" applyFill="1" applyAlignment="1">
      <alignment vertical="center" wrapText="1"/>
    </xf>
    <xf numFmtId="0" fontId="25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26" fillId="2" borderId="0" xfId="0" applyFont="1" applyFill="1" applyAlignment="1">
      <alignment horizontal="right" vertical="center"/>
    </xf>
    <xf numFmtId="0" fontId="4" fillId="2" borderId="12" xfId="0" applyFont="1" applyFill="1" applyBorder="1" applyAlignment="1">
      <alignment vertical="center"/>
    </xf>
    <xf numFmtId="0" fontId="14" fillId="2" borderId="10" xfId="0" applyFont="1" applyFill="1" applyBorder="1"/>
    <xf numFmtId="0" fontId="0" fillId="2" borderId="17" xfId="0" applyFill="1" applyBorder="1"/>
    <xf numFmtId="0" fontId="19" fillId="2" borderId="0" xfId="0" applyFont="1" applyFill="1" applyAlignment="1">
      <alignment horizontal="right"/>
    </xf>
    <xf numFmtId="0" fontId="20" fillId="2" borderId="0" xfId="0" applyFont="1" applyFill="1" applyAlignment="1" applyProtection="1">
      <alignment horizontal="right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9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 applyProtection="1">
      <alignment vertical="center"/>
      <protection locked="0"/>
    </xf>
    <xf numFmtId="0" fontId="0" fillId="2" borderId="0" xfId="0" applyFill="1" applyProtection="1">
      <protection locked="0"/>
    </xf>
    <xf numFmtId="0" fontId="0" fillId="2" borderId="17" xfId="0" applyFill="1" applyBorder="1" applyProtection="1">
      <protection locked="0"/>
    </xf>
    <xf numFmtId="0" fontId="2" fillId="2" borderId="14" xfId="0" applyFont="1" applyFill="1" applyBorder="1"/>
    <xf numFmtId="0" fontId="40" fillId="0" borderId="20" xfId="0" applyFont="1" applyBorder="1"/>
    <xf numFmtId="0" fontId="2" fillId="2" borderId="14" xfId="0" applyFont="1" applyFill="1" applyBorder="1" applyAlignment="1">
      <alignment horizontal="center" vertical="center"/>
    </xf>
    <xf numFmtId="0" fontId="0" fillId="0" borderId="20" xfId="0" applyBorder="1" applyAlignment="1">
      <alignment horizontal="left" vertical="center" wrapText="1"/>
    </xf>
    <xf numFmtId="0" fontId="0" fillId="0" borderId="20" xfId="0" applyBorder="1" applyAlignment="1">
      <alignment horizontal="left" vertical="center"/>
    </xf>
    <xf numFmtId="0" fontId="0" fillId="0" borderId="20" xfId="0" applyBorder="1" applyAlignment="1">
      <alignment vertical="center"/>
    </xf>
    <xf numFmtId="0" fontId="0" fillId="0" borderId="20" xfId="0" applyBorder="1" applyAlignment="1">
      <alignment vertical="center" wrapText="1"/>
    </xf>
    <xf numFmtId="0" fontId="0" fillId="9" borderId="20" xfId="0" applyFill="1" applyBorder="1" applyAlignment="1">
      <alignment horizontal="left" vertical="center" wrapText="1"/>
    </xf>
    <xf numFmtId="0" fontId="38" fillId="2" borderId="0" xfId="0" applyFont="1" applyFill="1" applyAlignment="1">
      <alignment horizontal="left" vertical="center"/>
    </xf>
    <xf numFmtId="0" fontId="2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36" fillId="2" borderId="0" xfId="0" applyFont="1" applyFill="1" applyAlignment="1">
      <alignment horizontal="left" vertical="top" wrapText="1"/>
    </xf>
    <xf numFmtId="0" fontId="36" fillId="2" borderId="17" xfId="0" applyFont="1" applyFill="1" applyBorder="1" applyAlignment="1">
      <alignment horizontal="left" vertical="top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6" fillId="6" borderId="0" xfId="0" applyFont="1" applyFill="1" applyAlignment="1" applyProtection="1">
      <alignment horizontal="left" vertical="top"/>
      <protection locked="0"/>
    </xf>
    <xf numFmtId="0" fontId="6" fillId="6" borderId="17" xfId="0" applyFont="1" applyFill="1" applyBorder="1" applyAlignment="1" applyProtection="1">
      <alignment horizontal="left" vertical="top"/>
      <protection locked="0"/>
    </xf>
    <xf numFmtId="0" fontId="6" fillId="2" borderId="0" xfId="0" applyFont="1" applyFill="1" applyAlignment="1">
      <alignment horizontal="left" vertical="top" wrapText="1"/>
    </xf>
    <xf numFmtId="0" fontId="6" fillId="2" borderId="17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2" borderId="10" xfId="0" applyFont="1" applyFill="1" applyBorder="1" applyAlignment="1">
      <alignment horizontal="left" vertical="top" wrapText="1"/>
    </xf>
    <xf numFmtId="0" fontId="0" fillId="2" borderId="0" xfId="0" applyFill="1" applyAlignment="1" applyProtection="1">
      <alignment horizontal="center"/>
      <protection locked="0"/>
    </xf>
    <xf numFmtId="0" fontId="0" fillId="2" borderId="17" xfId="0" applyFill="1" applyBorder="1" applyAlignment="1" applyProtection="1">
      <alignment horizontal="center"/>
      <protection locked="0"/>
    </xf>
    <xf numFmtId="0" fontId="6" fillId="6" borderId="9" xfId="0" applyFont="1" applyFill="1" applyBorder="1" applyAlignment="1" applyProtection="1">
      <alignment horizontal="left" vertical="top"/>
      <protection locked="0"/>
    </xf>
    <xf numFmtId="0" fontId="6" fillId="6" borderId="10" xfId="0" applyFont="1" applyFill="1" applyBorder="1" applyAlignment="1" applyProtection="1">
      <alignment horizontal="left" vertical="top"/>
      <protection locked="0"/>
    </xf>
    <xf numFmtId="0" fontId="28" fillId="6" borderId="7" xfId="0" applyFont="1" applyFill="1" applyBorder="1" applyAlignment="1" applyProtection="1">
      <alignment horizontal="center" vertical="center"/>
      <protection locked="0"/>
    </xf>
    <xf numFmtId="0" fontId="37" fillId="2" borderId="0" xfId="0" applyFont="1" applyFill="1" applyAlignment="1">
      <alignment horizontal="left" vertical="top" wrapText="1"/>
    </xf>
    <xf numFmtId="0" fontId="37" fillId="2" borderId="17" xfId="0" applyFont="1" applyFill="1" applyBorder="1" applyAlignment="1">
      <alignment horizontal="left" vertical="top" wrapText="1"/>
    </xf>
    <xf numFmtId="0" fontId="25" fillId="2" borderId="0" xfId="0" applyFont="1" applyFill="1" applyAlignment="1">
      <alignment horizontal="left" vertical="top" wrapText="1"/>
    </xf>
    <xf numFmtId="0" fontId="25" fillId="2" borderId="17" xfId="0" applyFont="1" applyFill="1" applyBorder="1" applyAlignment="1">
      <alignment horizontal="left" vertical="top" wrapText="1"/>
    </xf>
    <xf numFmtId="0" fontId="25" fillId="2" borderId="9" xfId="0" applyFont="1" applyFill="1" applyBorder="1" applyAlignment="1">
      <alignment horizontal="left" vertical="top" wrapText="1"/>
    </xf>
    <xf numFmtId="0" fontId="25" fillId="2" borderId="10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left" vertical="center" wrapText="1"/>
    </xf>
    <xf numFmtId="0" fontId="6" fillId="2" borderId="17" xfId="0" applyFont="1" applyFill="1" applyBorder="1" applyAlignment="1">
      <alignment horizontal="left" vertical="center" wrapText="1"/>
    </xf>
    <xf numFmtId="0" fontId="15" fillId="2" borderId="12" xfId="0" applyFont="1" applyFill="1" applyBorder="1" applyAlignment="1">
      <alignment horizontal="left"/>
    </xf>
    <xf numFmtId="0" fontId="15" fillId="2" borderId="0" xfId="0" applyFont="1" applyFill="1" applyAlignment="1">
      <alignment horizontal="left"/>
    </xf>
    <xf numFmtId="0" fontId="4" fillId="8" borderId="2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18" fillId="8" borderId="5" xfId="0" applyFont="1" applyFill="1" applyBorder="1" applyAlignment="1">
      <alignment horizontal="center" vertical="center"/>
    </xf>
    <xf numFmtId="0" fontId="18" fillId="8" borderId="8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8" fillId="8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 applyProtection="1">
      <alignment horizontal="center" vertical="center"/>
      <protection locked="0"/>
    </xf>
    <xf numFmtId="0" fontId="8" fillId="2" borderId="8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8" fillId="2" borderId="6" xfId="0" applyFont="1" applyFill="1" applyBorder="1" applyAlignment="1" applyProtection="1">
      <alignment horizontal="center" vertical="center"/>
      <protection locked="0"/>
    </xf>
    <xf numFmtId="0" fontId="6" fillId="8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18" fillId="8" borderId="9" xfId="0" applyFont="1" applyFill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21" fillId="8" borderId="11" xfId="0" applyFont="1" applyFill="1" applyBorder="1" applyAlignment="1">
      <alignment horizontal="center" vertical="center" wrapText="1"/>
    </xf>
    <xf numFmtId="0" fontId="21" fillId="8" borderId="10" xfId="0" applyFont="1" applyFill="1" applyBorder="1" applyAlignment="1">
      <alignment horizontal="center" vertical="center" wrapText="1"/>
    </xf>
    <xf numFmtId="164" fontId="8" fillId="2" borderId="5" xfId="0" applyNumberFormat="1" applyFont="1" applyFill="1" applyBorder="1" applyAlignment="1" applyProtection="1">
      <alignment horizontal="center" vertical="center"/>
      <protection locked="0"/>
    </xf>
    <xf numFmtId="164" fontId="8" fillId="2" borderId="8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top" wrapText="1"/>
    </xf>
    <xf numFmtId="0" fontId="5" fillId="2" borderId="12" xfId="0" applyFont="1" applyFill="1" applyBorder="1" applyAlignment="1">
      <alignment horizontal="left" vertical="top" wrapText="1"/>
    </xf>
    <xf numFmtId="0" fontId="41" fillId="2" borderId="3" xfId="0" applyFont="1" applyFill="1" applyBorder="1" applyAlignment="1">
      <alignment horizontal="left" vertical="top"/>
    </xf>
    <xf numFmtId="0" fontId="41" fillId="2" borderId="4" xfId="0" applyFont="1" applyFill="1" applyBorder="1" applyAlignment="1">
      <alignment horizontal="left" vertical="top"/>
    </xf>
    <xf numFmtId="0" fontId="6" fillId="6" borderId="7" xfId="0" applyFont="1" applyFill="1" applyBorder="1" applyAlignment="1" applyProtection="1">
      <alignment horizontal="center" vertical="center" wrapText="1"/>
      <protection locked="0"/>
    </xf>
    <xf numFmtId="0" fontId="6" fillId="6" borderId="19" xfId="0" applyFont="1" applyFill="1" applyBorder="1" applyAlignment="1" applyProtection="1">
      <alignment horizontal="center" vertical="center" wrapText="1"/>
      <protection locked="0"/>
    </xf>
    <xf numFmtId="0" fontId="30" fillId="6" borderId="19" xfId="0" applyFont="1" applyFill="1" applyBorder="1" applyAlignment="1" applyProtection="1">
      <alignment horizontal="center" vertical="center" wrapText="1"/>
      <protection locked="0"/>
    </xf>
    <xf numFmtId="0" fontId="30" fillId="6" borderId="20" xfId="0" applyFont="1" applyFill="1" applyBorder="1" applyAlignment="1" applyProtection="1">
      <alignment horizontal="center" vertical="center" wrapText="1"/>
      <protection locked="0"/>
    </xf>
    <xf numFmtId="0" fontId="30" fillId="6" borderId="14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36" fillId="2" borderId="0" xfId="0" applyFont="1" applyFill="1" applyAlignment="1">
      <alignment horizontal="left" vertical="center" wrapText="1"/>
    </xf>
    <xf numFmtId="0" fontId="36" fillId="2" borderId="17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6" borderId="12" xfId="0" applyFont="1" applyFill="1" applyBorder="1" applyAlignment="1" applyProtection="1">
      <alignment horizontal="left" vertical="top" wrapText="1"/>
      <protection locked="0"/>
    </xf>
    <xf numFmtId="0" fontId="8" fillId="6" borderId="0" xfId="0" applyFont="1" applyFill="1" applyAlignment="1" applyProtection="1">
      <alignment horizontal="left" vertical="top" wrapText="1"/>
      <protection locked="0"/>
    </xf>
    <xf numFmtId="0" fontId="8" fillId="6" borderId="11" xfId="0" applyFont="1" applyFill="1" applyBorder="1" applyAlignment="1" applyProtection="1">
      <alignment horizontal="left" vertical="top" wrapText="1"/>
      <protection locked="0"/>
    </xf>
    <xf numFmtId="0" fontId="8" fillId="6" borderId="9" xfId="0" applyFont="1" applyFill="1" applyBorder="1" applyAlignment="1" applyProtection="1">
      <alignment horizontal="left" vertical="top" wrapText="1"/>
      <protection locked="0"/>
    </xf>
    <xf numFmtId="0" fontId="8" fillId="6" borderId="17" xfId="0" applyFont="1" applyFill="1" applyBorder="1" applyAlignment="1" applyProtection="1">
      <alignment horizontal="left" vertical="top" wrapText="1"/>
      <protection locked="0"/>
    </xf>
    <xf numFmtId="0" fontId="8" fillId="6" borderId="10" xfId="0" applyFont="1" applyFill="1" applyBorder="1" applyAlignment="1" applyProtection="1">
      <alignment horizontal="left" vertical="top" wrapText="1"/>
      <protection locked="0"/>
    </xf>
    <xf numFmtId="0" fontId="15" fillId="2" borderId="11" xfId="0" applyFont="1" applyFill="1" applyBorder="1" applyAlignment="1">
      <alignment horizontal="left"/>
    </xf>
    <xf numFmtId="0" fontId="15" fillId="2" borderId="9" xfId="0" applyFont="1" applyFill="1" applyBorder="1" applyAlignment="1">
      <alignment horizontal="left"/>
    </xf>
    <xf numFmtId="0" fontId="19" fillId="6" borderId="7" xfId="0" applyFont="1" applyFill="1" applyBorder="1" applyAlignment="1" applyProtection="1">
      <alignment horizontal="left" vertical="top" wrapText="1"/>
      <protection locked="0"/>
    </xf>
    <xf numFmtId="0" fontId="6" fillId="15" borderId="8" xfId="0" applyFont="1" applyFill="1" applyBorder="1" applyAlignment="1">
      <alignment horizontal="center" vertical="center"/>
    </xf>
    <xf numFmtId="0" fontId="6" fillId="15" borderId="6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left" vertical="top" wrapText="1"/>
    </xf>
    <xf numFmtId="0" fontId="4" fillId="2" borderId="19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35" fillId="2" borderId="19" xfId="0" applyFont="1" applyFill="1" applyBorder="1" applyAlignment="1">
      <alignment horizontal="center" vertical="center"/>
    </xf>
    <xf numFmtId="0" fontId="35" fillId="2" borderId="14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2" borderId="8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6" fillId="6" borderId="9" xfId="0" applyFont="1" applyFill="1" applyBorder="1" applyAlignment="1" applyProtection="1">
      <alignment horizontal="left" vertical="top" wrapText="1"/>
      <protection locked="0"/>
    </xf>
    <xf numFmtId="0" fontId="26" fillId="6" borderId="10" xfId="0" applyFont="1" applyFill="1" applyBorder="1" applyAlignment="1" applyProtection="1">
      <alignment horizontal="left" vertical="top" wrapText="1"/>
      <protection locked="0"/>
    </xf>
    <xf numFmtId="0" fontId="8" fillId="2" borderId="19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18" fillId="2" borderId="20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0" fontId="6" fillId="6" borderId="6" xfId="0" applyFont="1" applyFill="1" applyBorder="1" applyAlignment="1" applyProtection="1">
      <alignment horizontal="center" vertical="center" wrapText="1"/>
      <protection locked="0"/>
    </xf>
    <xf numFmtId="0" fontId="25" fillId="6" borderId="6" xfId="0" applyFont="1" applyFill="1" applyBorder="1" applyAlignment="1" applyProtection="1">
      <alignment horizontal="center" vertical="center" wrapText="1"/>
      <protection locked="0"/>
    </xf>
    <xf numFmtId="0" fontId="25" fillId="6" borderId="7" xfId="0" applyFont="1" applyFill="1" applyBorder="1" applyAlignment="1" applyProtection="1">
      <alignment horizontal="center" vertical="center" wrapText="1"/>
      <protection locked="0"/>
    </xf>
    <xf numFmtId="0" fontId="5" fillId="7" borderId="7" xfId="0" applyFont="1" applyFill="1" applyBorder="1" applyAlignment="1">
      <alignment horizontal="center" vertical="center" wrapText="1"/>
    </xf>
    <xf numFmtId="0" fontId="41" fillId="2" borderId="0" xfId="0" applyFont="1" applyFill="1" applyAlignment="1">
      <alignment horizontal="left" vertical="top"/>
    </xf>
    <xf numFmtId="0" fontId="41" fillId="2" borderId="17" xfId="0" applyFont="1" applyFill="1" applyBorder="1" applyAlignment="1">
      <alignment horizontal="left" vertical="top"/>
    </xf>
    <xf numFmtId="0" fontId="41" fillId="2" borderId="3" xfId="0" applyFont="1" applyFill="1" applyBorder="1" applyAlignment="1">
      <alignment horizontal="left" vertical="top" wrapText="1"/>
    </xf>
    <xf numFmtId="0" fontId="8" fillId="2" borderId="8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29" fillId="2" borderId="19" xfId="0" applyFont="1" applyFill="1" applyBorder="1" applyAlignment="1">
      <alignment horizontal="center" vertical="center" wrapText="1"/>
    </xf>
    <xf numFmtId="0" fontId="29" fillId="2" borderId="20" xfId="0" applyFont="1" applyFill="1" applyBorder="1" applyAlignment="1">
      <alignment horizontal="center" vertical="center" wrapText="1"/>
    </xf>
    <xf numFmtId="0" fontId="29" fillId="2" borderId="14" xfId="0" applyFont="1" applyFill="1" applyBorder="1" applyAlignment="1">
      <alignment horizontal="center" vertical="center" wrapText="1"/>
    </xf>
    <xf numFmtId="0" fontId="28" fillId="6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2" fillId="2" borderId="17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left" vertical="top" wrapText="1"/>
    </xf>
    <xf numFmtId="0" fontId="24" fillId="2" borderId="17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17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left" vertical="top"/>
    </xf>
    <xf numFmtId="0" fontId="24" fillId="2" borderId="0" xfId="0" applyFont="1" applyFill="1" applyAlignment="1">
      <alignment horizontal="left" vertical="center" wrapText="1"/>
    </xf>
    <xf numFmtId="0" fontId="24" fillId="2" borderId="17" xfId="0" applyFont="1" applyFill="1" applyBorder="1" applyAlignment="1">
      <alignment horizontal="left" vertical="center" wrapText="1"/>
    </xf>
    <xf numFmtId="0" fontId="2" fillId="6" borderId="0" xfId="0" applyFont="1" applyFill="1" applyAlignment="1">
      <alignment horizontal="center" vertical="top"/>
    </xf>
    <xf numFmtId="0" fontId="2" fillId="6" borderId="17" xfId="0" applyFont="1" applyFill="1" applyBorder="1" applyAlignment="1">
      <alignment horizontal="center" vertical="top"/>
    </xf>
    <xf numFmtId="0" fontId="6" fillId="6" borderId="19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top"/>
    </xf>
    <xf numFmtId="0" fontId="2" fillId="6" borderId="10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left" vertical="top"/>
    </xf>
    <xf numFmtId="0" fontId="6" fillId="2" borderId="17" xfId="0" applyFont="1" applyFill="1" applyBorder="1" applyAlignment="1">
      <alignment horizontal="left" vertical="top"/>
    </xf>
    <xf numFmtId="0" fontId="10" fillId="2" borderId="0" xfId="0" applyFont="1" applyFill="1" applyAlignment="1">
      <alignment horizontal="left" vertical="top" wrapText="1"/>
    </xf>
    <xf numFmtId="0" fontId="10" fillId="2" borderId="17" xfId="0" applyFont="1" applyFill="1" applyBorder="1" applyAlignment="1">
      <alignment horizontal="left" vertical="top" wrapText="1"/>
    </xf>
    <xf numFmtId="0" fontId="10" fillId="2" borderId="9" xfId="0" applyFont="1" applyFill="1" applyBorder="1" applyAlignment="1">
      <alignment horizontal="left" vertical="top" wrapText="1"/>
    </xf>
    <xf numFmtId="0" fontId="10" fillId="2" borderId="10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14" fillId="2" borderId="0" xfId="0" applyFont="1" applyFill="1" applyAlignment="1">
      <alignment horizontal="left" vertical="top" wrapText="1"/>
    </xf>
    <xf numFmtId="0" fontId="14" fillId="2" borderId="17" xfId="0" applyFont="1" applyFill="1" applyBorder="1" applyAlignment="1">
      <alignment horizontal="left" vertical="top" wrapText="1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18" fillId="8" borderId="2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/>
    </xf>
    <xf numFmtId="0" fontId="12" fillId="6" borderId="0" xfId="0" applyFont="1" applyFill="1" applyAlignment="1">
      <alignment horizontal="center"/>
    </xf>
    <xf numFmtId="0" fontId="12" fillId="6" borderId="9" xfId="0" applyFont="1" applyFill="1" applyBorder="1" applyAlignment="1">
      <alignment horizontal="center"/>
    </xf>
    <xf numFmtId="0" fontId="12" fillId="6" borderId="21" xfId="0" applyFont="1" applyFill="1" applyBorder="1" applyAlignment="1">
      <alignment horizontal="center"/>
    </xf>
    <xf numFmtId="0" fontId="12" fillId="6" borderId="18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17" xfId="0" applyFont="1" applyFill="1" applyBorder="1" applyAlignment="1">
      <alignment horizontal="left" vertical="center"/>
    </xf>
    <xf numFmtId="0" fontId="34" fillId="2" borderId="2" xfId="0" applyFont="1" applyFill="1" applyBorder="1" applyAlignment="1">
      <alignment horizontal="center" vertical="center"/>
    </xf>
    <xf numFmtId="0" fontId="34" fillId="2" borderId="11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left" vertical="center"/>
    </xf>
    <xf numFmtId="0" fontId="30" fillId="2" borderId="4" xfId="0" applyFont="1" applyFill="1" applyBorder="1" applyAlignment="1">
      <alignment horizontal="left" vertical="center"/>
    </xf>
    <xf numFmtId="1" fontId="8" fillId="2" borderId="12" xfId="0" applyNumberFormat="1" applyFont="1" applyFill="1" applyBorder="1" applyAlignment="1">
      <alignment horizontal="left" vertical="center"/>
    </xf>
    <xf numFmtId="1" fontId="8" fillId="2" borderId="0" xfId="0" applyNumberFormat="1" applyFont="1" applyFill="1" applyAlignment="1">
      <alignment horizontal="left" vertical="center"/>
    </xf>
    <xf numFmtId="1" fontId="8" fillId="2" borderId="17" xfId="0" applyNumberFormat="1" applyFont="1" applyFill="1" applyBorder="1" applyAlignment="1">
      <alignment horizontal="left" vertical="center"/>
    </xf>
    <xf numFmtId="0" fontId="32" fillId="2" borderId="12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2" fillId="2" borderId="17" xfId="0" applyFont="1" applyFill="1" applyBorder="1" applyAlignment="1">
      <alignment horizontal="left" vertical="center"/>
    </xf>
    <xf numFmtId="0" fontId="8" fillId="0" borderId="12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17" xfId="0" applyFont="1" applyBorder="1" applyAlignment="1">
      <alignment horizontal="left"/>
    </xf>
    <xf numFmtId="0" fontId="8" fillId="2" borderId="11" xfId="0" applyFont="1" applyFill="1" applyBorder="1" applyAlignment="1">
      <alignment horizontal="left"/>
    </xf>
    <xf numFmtId="0" fontId="8" fillId="2" borderId="9" xfId="0" applyFont="1" applyFill="1" applyBorder="1" applyAlignment="1">
      <alignment horizontal="left"/>
    </xf>
    <xf numFmtId="0" fontId="8" fillId="2" borderId="10" xfId="0" applyFont="1" applyFill="1" applyBorder="1" applyAlignment="1">
      <alignment horizontal="left"/>
    </xf>
    <xf numFmtId="0" fontId="25" fillId="6" borderId="6" xfId="0" applyFont="1" applyFill="1" applyBorder="1" applyAlignment="1">
      <alignment horizontal="center" vertical="center" wrapText="1"/>
    </xf>
    <xf numFmtId="0" fontId="25" fillId="6" borderId="7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33" fillId="2" borderId="12" xfId="0" applyFont="1" applyFill="1" applyBorder="1" applyAlignment="1">
      <alignment horizontal="center" vertical="center"/>
    </xf>
    <xf numFmtId="0" fontId="33" fillId="2" borderId="11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left" vertical="center"/>
    </xf>
    <xf numFmtId="0" fontId="28" fillId="2" borderId="17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37">
    <dxf>
      <fill>
        <patternFill>
          <bgColor theme="3" tint="0.8999603259376811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EE0000"/>
      </font>
    </dxf>
    <dxf>
      <font>
        <b val="0"/>
        <i val="0"/>
        <color rgb="FF00B050"/>
      </font>
      <border>
        <bottom style="thin">
          <color auto="1"/>
        </bottom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general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general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CFFCC"/>
      <color rgb="FFD6F5CC"/>
      <color rgb="FFE0EBCC"/>
      <color rgb="FFEBE0CC"/>
      <color rgb="FFF5D6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707571</xdr:colOff>
      <xdr:row>55</xdr:row>
      <xdr:rowOff>10885</xdr:rowOff>
    </xdr:from>
    <xdr:to>
      <xdr:col>3</xdr:col>
      <xdr:colOff>0</xdr:colOff>
      <xdr:row>56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B19488-719E-848A-8167-7433F777B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571" y="24525514"/>
          <a:ext cx="2198915" cy="435430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54</xdr:row>
      <xdr:rowOff>10886</xdr:rowOff>
    </xdr:from>
    <xdr:to>
      <xdr:col>3</xdr:col>
      <xdr:colOff>1</xdr:colOff>
      <xdr:row>55</xdr:row>
      <xdr:rowOff>3266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4CD738-46F8-C7C1-77F3-8AD953480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7571" y="24079200"/>
          <a:ext cx="2198916" cy="438693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707573</xdr:colOff>
      <xdr:row>53</xdr:row>
      <xdr:rowOff>10886</xdr:rowOff>
    </xdr:from>
    <xdr:to>
      <xdr:col>3</xdr:col>
      <xdr:colOff>1</xdr:colOff>
      <xdr:row>54</xdr:row>
      <xdr:rowOff>4480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A6F3949-3BA6-9CD1-4044-7CF273185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7573" y="23632886"/>
          <a:ext cx="2198914" cy="439909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52</xdr:row>
      <xdr:rowOff>10885</xdr:rowOff>
    </xdr:from>
    <xdr:to>
      <xdr:col>3</xdr:col>
      <xdr:colOff>1629</xdr:colOff>
      <xdr:row>52</xdr:row>
      <xdr:rowOff>433819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EA35106-A014-912A-109E-CA6299175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7571" y="23186571"/>
          <a:ext cx="2198914" cy="435429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51</xdr:row>
      <xdr:rowOff>8086</xdr:rowOff>
    </xdr:from>
    <xdr:to>
      <xdr:col>3</xdr:col>
      <xdr:colOff>0</xdr:colOff>
      <xdr:row>52</xdr:row>
      <xdr:rowOff>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6D26D25-538C-B0BA-6FA1-8565FB2E8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7571" y="22737457"/>
          <a:ext cx="2198915" cy="438228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707572</xdr:colOff>
      <xdr:row>50</xdr:row>
      <xdr:rowOff>10886</xdr:rowOff>
    </xdr:from>
    <xdr:to>
      <xdr:col>3</xdr:col>
      <xdr:colOff>0</xdr:colOff>
      <xdr:row>51</xdr:row>
      <xdr:rowOff>4481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15461E3-BF61-13F6-94F7-3D6C6375E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7572" y="22293943"/>
          <a:ext cx="2198914" cy="4399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335280</xdr:colOff>
      <xdr:row>1</xdr:row>
      <xdr:rowOff>160020</xdr:rowOff>
    </xdr:from>
    <xdr:to>
      <xdr:col>15</xdr:col>
      <xdr:colOff>46382</xdr:colOff>
      <xdr:row>13</xdr:row>
      <xdr:rowOff>175452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BF45C3-90F9-3BC2-C62B-ED520CC7B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" y="342900"/>
          <a:ext cx="7635902" cy="2209992"/>
        </a:xfrm>
        <a:prstGeom prst="rect">
          <a:avLst/>
        </a:prstGeom>
      </xdr:spPr>
    </xdr:pic>
    <xdr:clientData/>
  </xdr:twoCellAnchor>
  <xdr:twoCellAnchor editAs="oneCell">
    <xdr:from>
      <xdr:col>2</xdr:col>
      <xdr:colOff>426720</xdr:colOff>
      <xdr:row>15</xdr:row>
      <xdr:rowOff>53340</xdr:rowOff>
    </xdr:from>
    <xdr:to>
      <xdr:col>15</xdr:col>
      <xdr:colOff>450269</xdr:colOff>
      <xdr:row>31</xdr:row>
      <xdr:rowOff>45973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FA16DF-7C50-820A-7E8F-50B21C6E8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5920" y="2796540"/>
          <a:ext cx="7948349" cy="2918713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7F391A-6C6A-42FC-B3C4-B306AD05602D}" name="Table1" displayName="Table1" ref="T4:AC23" totalsRowShown="0" headerRowDxfId="31">
  <autoFilter ref="T4:AC23" xr:uid="{247F391A-6C6A-42FC-B3C4-B306AD05602D}"/>
  <tableColumns count="10">
    <tableColumn id="1" xr3:uid="{33CB785D-6A2D-46B3-82D0-81B3A382D99A}" name="Can do" dataDxfId="30"/>
    <tableColumn id="7" xr3:uid="{86AE4021-21ED-4240-9CD5-5383F627A623}" name="Eng Can do"/>
    <tableColumn id="2" xr3:uid="{68DBC8B9-54A1-4EF8-86CF-DECEFD5564FA}" name="ความหมาย Can do"/>
    <tableColumn id="3" xr3:uid="{C2AFBAD4-9985-4643-B6C1-52E9B5FD0CF8}" name="Will do"/>
    <tableColumn id="8" xr3:uid="{3A8C1A3E-54D7-41EC-858B-704E8AEFDB11}" name="Eng Will do"/>
    <tableColumn id="4" xr3:uid="{123AFDC9-564E-4A4C-9452-791E45AAF0EB}" name="ความหมาย Will do" dataDxfId="29"/>
    <tableColumn id="5" xr3:uid="{655551A9-6508-47E0-8A17-3ED01A8D140D}" name="Will fit"/>
    <tableColumn id="9" xr3:uid="{68320748-AF1B-440B-9776-822F39828AFC}" name="Eng Will fit"/>
    <tableColumn id="6" xr3:uid="{CBA8D278-8C65-495A-8CCC-CB0D353096CB}" name="ความหมาย Will fit" dataDxfId="28"/>
    <tableColumn id="10" xr3:uid="{6D7B863F-6B07-4078-BF0E-76A5656D07BB}" name="Score" dataDxfId="2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47D0FA-BFD7-48FB-8E8E-04362DBA6D30}" name="Table13" displayName="Table13" ref="T4:AC23" totalsRowShown="0" headerRowDxfId="36">
  <autoFilter ref="T4:AC23" xr:uid="{247F391A-6C6A-42FC-B3C4-B306AD05602D}"/>
  <tableColumns count="10">
    <tableColumn id="1" xr3:uid="{14351920-4CDA-44C0-BACB-C373553565E9}" name="Can do" dataDxfId="35"/>
    <tableColumn id="7" xr3:uid="{3312BD4E-E0DA-4617-ACA0-4A46D6379378}" name="Eng Can do"/>
    <tableColumn id="2" xr3:uid="{96800604-638F-483F-BC3B-299189ED48EA}" name="ความหมาย Can do"/>
    <tableColumn id="3" xr3:uid="{D19E64ED-66EC-4FC1-AB55-13400C40AD3E}" name="Will do"/>
    <tableColumn id="8" xr3:uid="{99467D81-0885-41E7-8076-76D2D5C4B6D8}" name="Eng Will do"/>
    <tableColumn id="4" xr3:uid="{5B3681D0-C534-44CE-9D57-44B4F8D654AD}" name="ความหมาย Will do" dataDxfId="34"/>
    <tableColumn id="5" xr3:uid="{9A63B157-E6DF-4EA8-9041-78A1BEFC647A}" name="Will fit"/>
    <tableColumn id="9" xr3:uid="{02512F7F-FBC4-44CB-A90C-4F198C126C31}" name="Eng Will fit"/>
    <tableColumn id="6" xr3:uid="{317EB9B6-4139-44DC-B4BB-E3D0534EB225}" name="ความหมาย Will fit" dataDxfId="33"/>
    <tableColumn id="10" xr3:uid="{2FB7BC8F-E04D-4208-BDE8-F9CABD4D0059}" name="Score" dataDxfId="3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FC27DB-9201-4EBB-9EC0-65A4CA4B2B40}" name="Table46" displayName="Table46" ref="A1:F73" totalsRowShown="0" tableBorderDxfId="26">
  <autoFilter ref="A1:F73" xr:uid="{37446CFA-B5AF-4F2E-8D91-D23B1C749AF3}"/>
  <tableColumns count="6">
    <tableColumn id="1" xr3:uid="{09394300-9DBA-463B-B4A3-1C9C628663B0}" name="ข้อ" dataDxfId="25"/>
    <tableColumn id="2" xr3:uid="{179FA3BD-D232-401D-B9B7-FC17CB24C5AA}" name="สมรรถนะหลัก" dataDxfId="24"/>
    <tableColumn id="3" xr3:uid="{65C11F25-918B-4724-BD88-420AEEF72794}" name="ระดับ" dataDxfId="23"/>
    <tableColumn id="7" xr3:uid="{77AEF95A-90AA-40BA-9D69-B785BF9624FF}" name="พฤติกรรมขณะสัมภาษณ์" dataDxfId="22"/>
    <tableColumn id="5" xr3:uid="{3007AA94-229D-4C55-8701-7EFC9F3FA3CE}" name="ทีมตรวจสอบและแก้ไข" dataDxfId="21"/>
    <tableColumn id="6" xr3:uid="{4843D6E7-390A-4A10-A309-AE5ABA8CC605}" name="สรุป ความคาดหวัง" dataDxfId="2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446CFA-B5AF-4F2E-8D91-D23B1C749AF3}" name="Table4" displayName="Table4" ref="A1:F73" totalsRowShown="0" tableBorderDxfId="19">
  <autoFilter ref="A1:F73" xr:uid="{37446CFA-B5AF-4F2E-8D91-D23B1C749AF3}"/>
  <tableColumns count="6">
    <tableColumn id="1" xr3:uid="{461BEE7F-5143-4F05-91D2-8A993B12BECF}" name="ข้อ" dataDxfId="18"/>
    <tableColumn id="2" xr3:uid="{B05EED52-3A4D-419E-8B24-EF7D7ABE79F5}" name="สมรรถนะหลัก" dataDxfId="17"/>
    <tableColumn id="3" xr3:uid="{6F47A60D-BF63-4AF1-88EF-2528F48C811F}" name="ระดับ" dataDxfId="16"/>
    <tableColumn id="7" xr3:uid="{D3E70653-44D6-4694-ADB7-A5A28BF5388A}" name="พฤติกรรมขณะสัมภาษณ์" dataDxfId="15"/>
    <tableColumn id="5" xr3:uid="{F3D1F3F5-A973-4913-8C7E-D7A35B0611AC}" name="ทีมตรวจสอบและแก้ไข" dataDxfId="14"/>
    <tableColumn id="6" xr3:uid="{A40B5216-E456-495A-B249-FC582A1E67FA}" name="สรุป ความคาดหวัง" dataDxfId="1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2DF74-B059-4484-9478-8D0B42729DC8}">
  <dimension ref="A1:AI155"/>
  <sheetViews>
    <sheetView view="pageBreakPreview" topLeftCell="J56" zoomScale="70" zoomScaleNormal="55" zoomScaleSheetLayoutView="70" workbookViewId="0">
      <selection activeCell="J56" sqref="J56"/>
    </sheetView>
  </sheetViews>
  <sheetFormatPr defaultRowHeight="15" x14ac:dyDescent="0.25"/>
  <cols>
    <col min="1" max="1" width="18.28515625" customWidth="1"/>
    <col min="2" max="2" width="3.140625" customWidth="1"/>
    <col min="3" max="3" width="20.7109375" customWidth="1"/>
    <col min="4" max="4" width="20.5703125" customWidth="1"/>
    <col min="5" max="5" width="20.7109375" customWidth="1"/>
    <col min="6" max="6" width="21.5703125" customWidth="1"/>
    <col min="7" max="7" width="20.28515625" customWidth="1"/>
    <col min="8" max="8" width="15.7109375" customWidth="1"/>
    <col min="9" max="11" width="10.7109375" customWidth="1"/>
    <col min="12" max="12" width="8.7109375" customWidth="1"/>
    <col min="13" max="14" width="25.7109375" customWidth="1"/>
    <col min="15" max="15" width="39.7109375" customWidth="1"/>
    <col min="16" max="16" width="1.28515625" customWidth="1"/>
    <col min="20" max="20" width="52.28515625" customWidth="1"/>
    <col min="21" max="21" width="43.28515625" customWidth="1"/>
    <col min="22" max="22" width="61.140625" customWidth="1"/>
    <col min="23" max="23" width="50.7109375" customWidth="1"/>
    <col min="24" max="24" width="36.7109375" customWidth="1"/>
    <col min="25" max="25" width="45.5703125" customWidth="1"/>
    <col min="26" max="26" width="49.7109375" customWidth="1"/>
    <col min="27" max="27" width="44" customWidth="1"/>
    <col min="28" max="28" width="49.5703125" customWidth="1"/>
    <col min="29" max="29" width="38.28515625" customWidth="1"/>
    <col min="30" max="30" width="44.140625" customWidth="1"/>
    <col min="32" max="32" width="39.28515625" customWidth="1"/>
    <col min="33" max="33" width="35.28515625" customWidth="1"/>
    <col min="34" max="34" width="120" customWidth="1"/>
  </cols>
  <sheetData>
    <row r="1" spans="1:29" ht="33" customHeight="1" x14ac:dyDescent="0.25">
      <c r="A1" s="328" t="s">
        <v>0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30"/>
      <c r="P1" s="5"/>
    </row>
    <row r="2" spans="1:29" ht="25.15" customHeight="1" x14ac:dyDescent="0.25">
      <c r="A2" s="75" t="s">
        <v>1</v>
      </c>
      <c r="B2" s="334"/>
      <c r="C2" s="332"/>
      <c r="D2" s="332"/>
      <c r="E2" s="332"/>
      <c r="F2" s="333"/>
      <c r="G2" s="207" t="s">
        <v>2</v>
      </c>
      <c r="H2" s="208"/>
      <c r="I2" s="332"/>
      <c r="J2" s="332"/>
      <c r="K2" s="333"/>
      <c r="L2" s="207" t="s">
        <v>3</v>
      </c>
      <c r="M2" s="208"/>
      <c r="N2" s="289"/>
      <c r="O2" s="290"/>
      <c r="P2" s="3"/>
    </row>
    <row r="3" spans="1:29" ht="25.15" customHeight="1" x14ac:dyDescent="0.25">
      <c r="A3" s="76" t="s">
        <v>4</v>
      </c>
      <c r="B3" s="334"/>
      <c r="C3" s="332"/>
      <c r="D3" s="332"/>
      <c r="E3" s="332"/>
      <c r="F3" s="333"/>
      <c r="G3" s="207" t="s">
        <v>5</v>
      </c>
      <c r="H3" s="208"/>
      <c r="I3" s="332"/>
      <c r="J3" s="332"/>
      <c r="K3" s="333"/>
      <c r="L3" s="207" t="s">
        <v>6</v>
      </c>
      <c r="M3" s="208"/>
      <c r="N3" s="332"/>
      <c r="O3" s="333"/>
      <c r="P3" s="3"/>
    </row>
    <row r="4" spans="1:29" ht="25.15" customHeight="1" x14ac:dyDescent="0.25">
      <c r="A4" s="77" t="s">
        <v>7</v>
      </c>
      <c r="B4" s="334"/>
      <c r="C4" s="332"/>
      <c r="D4" s="332"/>
      <c r="E4" s="332"/>
      <c r="F4" s="333"/>
      <c r="G4" s="207" t="s">
        <v>8</v>
      </c>
      <c r="H4" s="208"/>
      <c r="I4" s="332"/>
      <c r="J4" s="332"/>
      <c r="K4" s="333"/>
      <c r="L4" s="207" t="s">
        <v>9</v>
      </c>
      <c r="M4" s="208"/>
      <c r="N4" s="289"/>
      <c r="O4" s="290"/>
      <c r="P4" s="3"/>
      <c r="T4" s="23" t="s">
        <v>10</v>
      </c>
      <c r="U4" s="6" t="s">
        <v>11</v>
      </c>
      <c r="V4" s="6" t="s">
        <v>12</v>
      </c>
      <c r="W4" s="6" t="s">
        <v>13</v>
      </c>
      <c r="X4" s="6" t="s">
        <v>14</v>
      </c>
      <c r="Y4" s="6" t="s">
        <v>15</v>
      </c>
      <c r="Z4" s="6" t="s">
        <v>16</v>
      </c>
      <c r="AA4" s="6" t="s">
        <v>17</v>
      </c>
      <c r="AB4" s="25" t="s">
        <v>18</v>
      </c>
      <c r="AC4" s="33" t="s">
        <v>19</v>
      </c>
    </row>
    <row r="5" spans="1:29" ht="42.6" customHeight="1" x14ac:dyDescent="0.25">
      <c r="A5" s="331" t="s">
        <v>20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4"/>
      <c r="P5" s="5"/>
      <c r="T5" s="30" t="s">
        <v>21</v>
      </c>
      <c r="U5" t="s">
        <v>22</v>
      </c>
      <c r="V5" s="7" t="s">
        <v>23</v>
      </c>
      <c r="W5" s="21" t="s">
        <v>24</v>
      </c>
      <c r="X5" t="s">
        <v>22</v>
      </c>
      <c r="Y5" s="7" t="s">
        <v>23</v>
      </c>
      <c r="Z5" s="21" t="s">
        <v>25</v>
      </c>
      <c r="AA5" s="87" t="s">
        <v>26</v>
      </c>
      <c r="AB5" s="26" t="s">
        <v>27</v>
      </c>
      <c r="AC5" s="34">
        <v>5</v>
      </c>
    </row>
    <row r="6" spans="1:29" ht="33" customHeight="1" x14ac:dyDescent="0.55000000000000004">
      <c r="A6" s="100" t="s">
        <v>28</v>
      </c>
      <c r="B6" s="210" t="s">
        <v>29</v>
      </c>
      <c r="C6" s="211"/>
      <c r="D6" s="211"/>
      <c r="E6" s="211"/>
      <c r="F6" s="212"/>
      <c r="G6" s="217" t="s">
        <v>30</v>
      </c>
      <c r="H6" s="218"/>
      <c r="I6" s="101" t="s">
        <v>31</v>
      </c>
      <c r="J6" s="102" t="s">
        <v>32</v>
      </c>
      <c r="K6" s="102" t="s">
        <v>33</v>
      </c>
      <c r="L6" s="219" t="s">
        <v>34</v>
      </c>
      <c r="M6" s="220"/>
      <c r="N6" s="220"/>
      <c r="O6" s="221"/>
      <c r="P6" s="3"/>
      <c r="T6" s="30" t="s">
        <v>35</v>
      </c>
      <c r="U6" t="s">
        <v>36</v>
      </c>
      <c r="V6" s="22" t="s">
        <v>37</v>
      </c>
      <c r="W6" s="21" t="s">
        <v>38</v>
      </c>
      <c r="X6" t="s">
        <v>39</v>
      </c>
      <c r="Y6" s="7" t="s">
        <v>40</v>
      </c>
      <c r="Z6" s="21" t="s">
        <v>41</v>
      </c>
      <c r="AA6" s="43" t="s">
        <v>42</v>
      </c>
      <c r="AB6" s="27" t="s">
        <v>43</v>
      </c>
      <c r="AC6" s="34">
        <v>4</v>
      </c>
    </row>
    <row r="7" spans="1:29" ht="30" x14ac:dyDescent="0.25">
      <c r="A7" s="103" t="s">
        <v>44</v>
      </c>
      <c r="B7" s="213"/>
      <c r="C7" s="214"/>
      <c r="D7" s="214"/>
      <c r="E7" s="214"/>
      <c r="F7" s="215"/>
      <c r="G7" s="222" t="s">
        <v>45</v>
      </c>
      <c r="H7" s="223"/>
      <c r="I7" s="105" t="s">
        <v>46</v>
      </c>
      <c r="J7" s="104" t="s">
        <v>47</v>
      </c>
      <c r="K7" s="104" t="s">
        <v>48</v>
      </c>
      <c r="L7" s="213" t="s">
        <v>49</v>
      </c>
      <c r="M7" s="214"/>
      <c r="N7" s="214"/>
      <c r="O7" s="215"/>
      <c r="P7" s="3"/>
      <c r="T7" s="30" t="s">
        <v>50</v>
      </c>
      <c r="U7" t="s">
        <v>51</v>
      </c>
      <c r="V7" t="s">
        <v>52</v>
      </c>
      <c r="W7" s="21" t="s">
        <v>35</v>
      </c>
      <c r="X7" t="s">
        <v>36</v>
      </c>
      <c r="Y7" s="22" t="s">
        <v>37</v>
      </c>
      <c r="Z7" s="21" t="s">
        <v>53</v>
      </c>
      <c r="AA7" s="87" t="s">
        <v>54</v>
      </c>
      <c r="AB7" s="26" t="s">
        <v>55</v>
      </c>
      <c r="AC7" s="34">
        <v>3</v>
      </c>
    </row>
    <row r="8" spans="1:29" ht="40.15" customHeight="1" x14ac:dyDescent="0.25">
      <c r="A8" s="285" t="s">
        <v>56</v>
      </c>
      <c r="B8" s="230">
        <v>1</v>
      </c>
      <c r="C8" s="318" t="str">
        <f>IF(ISBLANK($G$8),"โปรดเลือกสมรรถนะที่ต้องการประเมิน",$G$8)</f>
        <v>ความเชี่ยวชาญด้านเทคนิค 
(Technical Skill)</v>
      </c>
      <c r="D8" s="318"/>
      <c r="E8" s="318"/>
      <c r="F8" s="319"/>
      <c r="G8" s="300" t="s">
        <v>35</v>
      </c>
      <c r="H8" s="301"/>
      <c r="I8" s="292">
        <v>2</v>
      </c>
      <c r="J8" s="295">
        <v>2</v>
      </c>
      <c r="K8" s="291" t="str">
        <f>IF($J$8="","ระบุ",IF($J$8&lt;$I$8,"Below",IF($J$8=$I$8,"Meet","Exceed")))</f>
        <v>Meet</v>
      </c>
      <c r="L8" s="66" t="s">
        <v>57</v>
      </c>
      <c r="M8" s="298" t="str" cm="1">
        <f t="array" ref="M8">_xlfn.IFS($J$8=1,'Competency detail'!$D$14,$J$8=2,'Competency detail'!$D$15,$J$8=3,'Competency detail'!$D$16,$J$8=4,'Competency detail'!$D$17,$J$8=5,'Competency detail'!$D$18)</f>
        <v>มีทักษะความรู้บ้างเล็กน้อยถึงปานกลาง/ ต้องมีคนแนะนำ เช่น เข้าใจหลักการของการแก้ไขปัญหาง่ายๆ</v>
      </c>
      <c r="N8" s="298"/>
      <c r="O8" s="299"/>
      <c r="P8" s="3"/>
      <c r="T8" s="30" t="s">
        <v>58</v>
      </c>
      <c r="U8" t="s">
        <v>59</v>
      </c>
      <c r="V8" t="s">
        <v>60</v>
      </c>
      <c r="W8" s="21" t="s">
        <v>50</v>
      </c>
      <c r="X8" t="s">
        <v>51</v>
      </c>
      <c r="Y8" s="22" t="s">
        <v>52</v>
      </c>
      <c r="Z8" s="21"/>
      <c r="AA8" s="87"/>
      <c r="AB8" s="28"/>
      <c r="AC8" s="34">
        <v>2</v>
      </c>
    </row>
    <row r="9" spans="1:29" ht="34.9" customHeight="1" x14ac:dyDescent="0.25">
      <c r="A9" s="285"/>
      <c r="B9" s="231"/>
      <c r="C9" s="303" t="s">
        <v>61</v>
      </c>
      <c r="D9" s="303"/>
      <c r="E9" s="303"/>
      <c r="F9" s="304"/>
      <c r="G9" s="300"/>
      <c r="H9" s="301"/>
      <c r="I9" s="293"/>
      <c r="J9" s="295"/>
      <c r="K9" s="291"/>
      <c r="L9" s="175" t="s">
        <v>62</v>
      </c>
      <c r="M9" s="313"/>
      <c r="N9" s="313"/>
      <c r="O9" s="314"/>
      <c r="P9" s="3"/>
      <c r="T9" s="30" t="s">
        <v>53</v>
      </c>
      <c r="U9" t="s">
        <v>54</v>
      </c>
      <c r="V9" s="22" t="s">
        <v>63</v>
      </c>
      <c r="W9" s="21" t="s">
        <v>58</v>
      </c>
      <c r="X9" t="s">
        <v>59</v>
      </c>
      <c r="Y9" s="22" t="s">
        <v>60</v>
      </c>
      <c r="Z9" s="21" t="s">
        <v>64</v>
      </c>
      <c r="AA9" s="87" t="s">
        <v>65</v>
      </c>
      <c r="AB9" s="29" t="s">
        <v>66</v>
      </c>
      <c r="AC9" s="34">
        <v>1</v>
      </c>
    </row>
    <row r="10" spans="1:29" ht="34.9" customHeight="1" x14ac:dyDescent="0.25">
      <c r="A10" s="285"/>
      <c r="B10" s="231"/>
      <c r="C10" s="305" t="str" cm="1">
        <f t="array" ref="C10">_xlfn.IFS($I$8=1,'Competency detail'!$D$14,$I$8=2,'Competency detail'!$D$15,$I$8=3,'Competency detail'!$D$16,$I$8=4,'Competency detail'!$D$17,$I$8=5,'Competency detail'!$D$18)</f>
        <v>มีทักษะความรู้บ้างเล็กน้อยถึงปานกลาง/ ต้องมีคนแนะนำ เช่น เข้าใจหลักการของการแก้ไขปัญหาง่ายๆ</v>
      </c>
      <c r="D10" s="305"/>
      <c r="E10" s="305"/>
      <c r="F10" s="306"/>
      <c r="G10" s="300"/>
      <c r="H10" s="301"/>
      <c r="I10" s="293"/>
      <c r="J10" s="295"/>
      <c r="K10" s="291"/>
      <c r="L10" s="176"/>
      <c r="M10" s="313"/>
      <c r="N10" s="313"/>
      <c r="O10" s="314"/>
      <c r="P10" s="3"/>
      <c r="T10" s="30" t="s">
        <v>67</v>
      </c>
      <c r="U10" t="s">
        <v>68</v>
      </c>
      <c r="V10" t="s">
        <v>69</v>
      </c>
      <c r="W10" s="21" t="s">
        <v>70</v>
      </c>
      <c r="X10" t="s">
        <v>71</v>
      </c>
      <c r="Y10" s="22" t="s">
        <v>72</v>
      </c>
      <c r="Z10" s="21" t="s">
        <v>73</v>
      </c>
      <c r="AA10" s="87" t="s">
        <v>74</v>
      </c>
      <c r="AB10" s="22" t="s">
        <v>75</v>
      </c>
      <c r="AC10" s="34"/>
    </row>
    <row r="11" spans="1:29" ht="34.9" customHeight="1" x14ac:dyDescent="0.25">
      <c r="A11" s="285"/>
      <c r="B11" s="231"/>
      <c r="C11" s="307"/>
      <c r="D11" s="307"/>
      <c r="E11" s="307"/>
      <c r="F11" s="308"/>
      <c r="G11" s="300"/>
      <c r="H11" s="301"/>
      <c r="I11" s="294"/>
      <c r="J11" s="295"/>
      <c r="K11" s="291"/>
      <c r="L11" s="177"/>
      <c r="M11" s="313"/>
      <c r="N11" s="313"/>
      <c r="O11" s="314"/>
      <c r="P11" s="3"/>
      <c r="T11" s="30" t="s">
        <v>38</v>
      </c>
      <c r="U11" t="s">
        <v>39</v>
      </c>
      <c r="V11" s="7" t="s">
        <v>40</v>
      </c>
      <c r="W11" s="21" t="s">
        <v>53</v>
      </c>
      <c r="X11" t="s">
        <v>54</v>
      </c>
      <c r="Y11" s="22" t="s">
        <v>63</v>
      </c>
      <c r="Z11" s="21" t="s">
        <v>76</v>
      </c>
      <c r="AA11" s="87" t="s">
        <v>77</v>
      </c>
      <c r="AB11" s="22" t="s">
        <v>78</v>
      </c>
      <c r="AC11" s="35"/>
    </row>
    <row r="12" spans="1:29" ht="40.15" customHeight="1" x14ac:dyDescent="0.25">
      <c r="A12" s="285"/>
      <c r="B12" s="230">
        <v>2</v>
      </c>
      <c r="C12" s="318" t="str">
        <f>IF(ISBLANK($G$12),"โปรดเลือกสมรรถนะที่ต้องการประเมิน",$G$12)</f>
        <v>การแก้ไขปัญหา 
(Problem Solving)</v>
      </c>
      <c r="D12" s="318"/>
      <c r="E12" s="318"/>
      <c r="F12" s="319"/>
      <c r="G12" s="300" t="s">
        <v>38</v>
      </c>
      <c r="H12" s="301"/>
      <c r="I12" s="292">
        <v>3</v>
      </c>
      <c r="J12" s="295">
        <v>3</v>
      </c>
      <c r="K12" s="291" t="str">
        <f>IF($J$12="","ระบุ",IF($J$12&lt;$I$12,"Below",IF($J$12=$I$12,"Meet","Exceed")))</f>
        <v>Meet</v>
      </c>
      <c r="L12" s="61" t="s">
        <v>57</v>
      </c>
      <c r="M12" s="298" t="str" cm="1">
        <f t="array" ref="M12">_xlfn.IFS($J$12=1,'Competency detail'!$D$8,$J$12=2,'Competency detail'!$D$9,$J$12=3,'Competency detail'!$D$10,$J$12=4,'Competency detail'!$D$11,$J$12=5,'Competency detail'!$D$12)</f>
        <v>สามารถแก้ไขปัญหาที่ซับซ้อนปานกลางให้สำเร็จได้ด้วยตนเอง เช่น ไล่ code แก้ bug ที่มีความซับซ้อนเองได้</v>
      </c>
      <c r="N12" s="298"/>
      <c r="O12" s="299"/>
      <c r="P12" s="3"/>
      <c r="T12" s="24"/>
      <c r="W12" s="21" t="s">
        <v>79</v>
      </c>
      <c r="X12" t="s">
        <v>80</v>
      </c>
      <c r="Y12" s="22" t="s">
        <v>81</v>
      </c>
      <c r="AB12" s="29"/>
      <c r="AC12" s="29"/>
    </row>
    <row r="13" spans="1:29" ht="34.9" customHeight="1" x14ac:dyDescent="0.25">
      <c r="A13" s="285"/>
      <c r="B13" s="231"/>
      <c r="C13" s="326" t="s">
        <v>61</v>
      </c>
      <c r="D13" s="326"/>
      <c r="E13" s="326"/>
      <c r="F13" s="327"/>
      <c r="G13" s="300"/>
      <c r="H13" s="301"/>
      <c r="I13" s="293"/>
      <c r="J13" s="295"/>
      <c r="K13" s="291"/>
      <c r="L13" s="175" t="s">
        <v>62</v>
      </c>
      <c r="M13" s="313"/>
      <c r="N13" s="313"/>
      <c r="O13" s="314"/>
      <c r="P13" s="3"/>
      <c r="T13" s="24"/>
      <c r="W13" s="21" t="s">
        <v>82</v>
      </c>
      <c r="X13" t="s">
        <v>83</v>
      </c>
      <c r="Y13" s="22" t="s">
        <v>84</v>
      </c>
      <c r="AB13" s="29"/>
      <c r="AC13" s="29"/>
    </row>
    <row r="14" spans="1:29" ht="34.9" customHeight="1" x14ac:dyDescent="0.25">
      <c r="A14" s="285"/>
      <c r="B14" s="231"/>
      <c r="C14" s="305" t="str" cm="1">
        <f t="array" ref="C14">_xlfn.IFS($I$12=1,'Competency detail'!$D$8,$I$12=2,'Competency detail'!$D$9,$I$12=3,'Competency detail'!$D$10,$I$12=4,'Competency detail'!$D$11,$I$12=5,'Competency detail'!$D$12)</f>
        <v>สามารถแก้ไขปัญหาที่ซับซ้อนปานกลางให้สำเร็จได้ด้วยตนเอง เช่น ไล่ code แก้ bug ที่มีความซับซ้อนเองได้</v>
      </c>
      <c r="D14" s="305"/>
      <c r="E14" s="305"/>
      <c r="F14" s="306"/>
      <c r="G14" s="300"/>
      <c r="H14" s="301"/>
      <c r="I14" s="293"/>
      <c r="J14" s="295"/>
      <c r="K14" s="291"/>
      <c r="L14" s="176"/>
      <c r="M14" s="313"/>
      <c r="N14" s="313"/>
      <c r="O14" s="314"/>
      <c r="P14" s="3"/>
      <c r="T14" s="24"/>
      <c r="W14" s="21" t="s">
        <v>85</v>
      </c>
      <c r="X14" t="s">
        <v>77</v>
      </c>
      <c r="Y14" s="22" t="s">
        <v>78</v>
      </c>
      <c r="Z14" s="21"/>
      <c r="AB14" s="29"/>
      <c r="AC14" s="29"/>
    </row>
    <row r="15" spans="1:29" ht="34.9" customHeight="1" x14ac:dyDescent="0.25">
      <c r="A15" s="285"/>
      <c r="B15" s="231"/>
      <c r="C15" s="307"/>
      <c r="D15" s="307"/>
      <c r="E15" s="307"/>
      <c r="F15" s="308"/>
      <c r="G15" s="300"/>
      <c r="H15" s="301"/>
      <c r="I15" s="294"/>
      <c r="J15" s="295"/>
      <c r="K15" s="291"/>
      <c r="L15" s="177"/>
      <c r="M15" s="316"/>
      <c r="N15" s="316"/>
      <c r="O15" s="317"/>
      <c r="P15" s="3"/>
      <c r="T15" s="24"/>
      <c r="W15" s="21" t="s">
        <v>25</v>
      </c>
      <c r="X15" t="s">
        <v>26</v>
      </c>
      <c r="Y15" s="22" t="s">
        <v>27</v>
      </c>
      <c r="Z15" s="21"/>
      <c r="AB15" s="29"/>
      <c r="AC15" s="29"/>
    </row>
    <row r="16" spans="1:29" ht="40.15" customHeight="1" x14ac:dyDescent="0.25">
      <c r="A16" s="285"/>
      <c r="B16" s="230">
        <v>3</v>
      </c>
      <c r="C16" s="309" t="str">
        <f>IF(ISBLANK($G$16),"โปรดเลือกสมรรถนะที่ต้องการประเมิน",$G$16)</f>
        <v>ทักษะการสื่อสารและเจรจา 
(Communication &amp; Negotiation)</v>
      </c>
      <c r="D16" s="309"/>
      <c r="E16" s="309"/>
      <c r="F16" s="310"/>
      <c r="G16" s="302" t="s">
        <v>53</v>
      </c>
      <c r="H16" s="302"/>
      <c r="I16" s="292">
        <v>2</v>
      </c>
      <c r="J16" s="295">
        <v>2</v>
      </c>
      <c r="K16" s="291" t="str">
        <f>IF($J$16="","ระบุ",IF($J$16&lt;$I$16,"Below",IF($J$16=$I$16,"Meet","Exceed")))</f>
        <v>Meet</v>
      </c>
      <c r="L16" s="66" t="s">
        <v>57</v>
      </c>
      <c r="M16" s="296" t="str" cm="1">
        <f t="array" ref="M16">_xlfn.IFS($G$16=$AF$78,_xlfn.XLOOKUP($J$16,$AG$78:$AG$82,$AH$78:$AH$82,"",0),$G$16=$AF$84,_xlfn.XLOOKUP($J$16,$AG$84:$AG$88,AH84:AH88,"",0),$G$16=$AF$90,_xlfn.XLOOKUP($J$16,AG90:AG94,AH90:AH94,"",0),$G$16=AF96,_xlfn.XLOOKUP(J16,AG96:AG100,AH96:AH100,"",0),$G$16=AF102,_xlfn.XLOOKUP(J16,AG102:AG106,AH102:AH106,"",0),$G$16=$AF$108,_xlfn.XLOOKUP(J16,AG108:AG112,AH108:AH112,"",0),G16=AF114,_xlfn.XLOOKUP(J16,AG114:AG118,AH114:AH118,"",0),G16=AF120,_xlfn.XLOOKUP(J16,AG120:AG124,AH120:AH124,"",0),G16=AF126,_xlfn.XLOOKUP(J16,AG126:AG130,AH126:AH130,"",0),G16=AF132,_xlfn.XLOOKUP(J16,AG132:AG136,AH132:AH136,"",0),G16=AF138,_xlfn.XLOOKUP(J16,AG138:AG142,AH138:AH142,"",0),G16=AF144,_xlfn.XLOOKUP(J16,AG144:AG148,AH144:AH148,"",0),G16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N16" s="296"/>
      <c r="O16" s="297"/>
      <c r="P16" s="3"/>
      <c r="T16" s="24"/>
      <c r="W16" s="21" t="s">
        <v>86</v>
      </c>
      <c r="X16" t="s">
        <v>87</v>
      </c>
      <c r="Y16" s="22" t="s">
        <v>75</v>
      </c>
      <c r="AB16" s="29"/>
      <c r="AC16" s="29"/>
    </row>
    <row r="17" spans="1:30" ht="34.9" customHeight="1" x14ac:dyDescent="0.25">
      <c r="A17" s="285"/>
      <c r="B17" s="231"/>
      <c r="C17" s="326" t="s">
        <v>61</v>
      </c>
      <c r="D17" s="326"/>
      <c r="E17" s="326"/>
      <c r="F17" s="327"/>
      <c r="G17" s="302"/>
      <c r="H17" s="302"/>
      <c r="I17" s="293"/>
      <c r="J17" s="295"/>
      <c r="K17" s="291"/>
      <c r="L17" s="175" t="s">
        <v>62</v>
      </c>
      <c r="M17" s="313"/>
      <c r="N17" s="313"/>
      <c r="O17" s="314"/>
      <c r="P17" s="3"/>
      <c r="T17" s="24"/>
      <c r="W17" s="7" t="s">
        <v>88</v>
      </c>
      <c r="X17" s="43"/>
      <c r="Y17" s="22"/>
      <c r="AB17" s="29"/>
      <c r="AC17" s="29"/>
    </row>
    <row r="18" spans="1:30" ht="34.9" customHeight="1" x14ac:dyDescent="0.25">
      <c r="A18" s="285"/>
      <c r="B18" s="231"/>
      <c r="C18" s="320" t="str" cm="1">
        <f t="array" ref="C18">_xlfn.IFS($G$16=$AF$78,_xlfn.XLOOKUP($I$16,$AG$78:$AG$82,$AH$78:$AH$82,"",0),$G$16=$AF$84,_xlfn.XLOOKUP($I$16,$AG$84:$AG$88,AH84:AH88,"",0),$G$16=$AF$90,_xlfn.XLOOKUP($I$16,AG90:AG94,AH90:AH94,"",0),$G$16=AF96,_xlfn.XLOOKUP(I16,AG96:AG100,AH96:AH100,"",0),$G$16=AF102,_xlfn.XLOOKUP(I16,AG102:AG106,AH102:AH106,"",0),$G$16=$AF$108,_xlfn.XLOOKUP(I16,AG108:AG112,AH108:AH112,"",0),G16=AF114,_xlfn.XLOOKUP(I16,AG114:AG118,AH114:AH118,"",0),G16=AF120,_xlfn.XLOOKUP(I16,AG120:AG124,AH120:AH124,"",0),G16=AF126,_xlfn.XLOOKUP(I16,AG126:AG130,AH126:AH130,"",0),G16=AF132,_xlfn.XLOOKUP(I16,AG132:AG136,AH132:AH136,"",0),G16=AF138,_xlfn.XLOOKUP(I16,AG138:AG142,AH138:AH142,"",0),G16=AF144,_xlfn.XLOOKUP(I16,AG144:AG148,AH144:AH148,"",0),G16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D18" s="320"/>
      <c r="E18" s="320"/>
      <c r="F18" s="321"/>
      <c r="G18" s="302"/>
      <c r="H18" s="302"/>
      <c r="I18" s="293"/>
      <c r="J18" s="295"/>
      <c r="K18" s="291"/>
      <c r="L18" s="176"/>
      <c r="M18" s="313"/>
      <c r="N18" s="313"/>
      <c r="O18" s="314"/>
      <c r="P18" s="3"/>
      <c r="T18" s="24"/>
      <c r="Y18" s="22"/>
      <c r="AB18" s="29"/>
      <c r="AC18" s="29"/>
    </row>
    <row r="19" spans="1:30" ht="34.9" customHeight="1" x14ac:dyDescent="0.25">
      <c r="A19" s="285"/>
      <c r="B19" s="231"/>
      <c r="C19" s="322"/>
      <c r="D19" s="322"/>
      <c r="E19" s="322"/>
      <c r="F19" s="323"/>
      <c r="G19" s="302"/>
      <c r="H19" s="302"/>
      <c r="I19" s="294"/>
      <c r="J19" s="295"/>
      <c r="K19" s="291"/>
      <c r="L19" s="177"/>
      <c r="M19" s="316"/>
      <c r="N19" s="316"/>
      <c r="O19" s="317"/>
      <c r="P19" s="3"/>
      <c r="T19" s="24"/>
      <c r="Y19" s="22"/>
      <c r="AB19" s="29"/>
      <c r="AC19" s="29"/>
    </row>
    <row r="20" spans="1:30" ht="40.15" customHeight="1" x14ac:dyDescent="0.25">
      <c r="A20" s="227" t="s">
        <v>89</v>
      </c>
      <c r="B20" s="230">
        <v>4</v>
      </c>
      <c r="C20" s="309" t="str">
        <f>IF(ISBLANK($G$20),"โปรดเลือกสมรรถนะที่ต้องการประเมิน",$G$20)</f>
        <v>ทักษะการสื่อสารและเจรจา 
(Communication &amp; Negotiation)</v>
      </c>
      <c r="D20" s="309"/>
      <c r="E20" s="309"/>
      <c r="F20" s="310"/>
      <c r="G20" s="359" t="s">
        <v>53</v>
      </c>
      <c r="H20" s="360"/>
      <c r="I20" s="292">
        <v>2</v>
      </c>
      <c r="J20" s="295">
        <v>3</v>
      </c>
      <c r="K20" s="291" t="str">
        <f>IF($J$20="","ระบุ",IF($J$20&lt;$I$20,"Below",IF($J$20=$I$20,"Meet","Exceed")))</f>
        <v>Exceed</v>
      </c>
      <c r="L20" s="66" t="s">
        <v>57</v>
      </c>
      <c r="M20" s="298" t="str" cm="1">
        <f t="array" ref="M20">_xlfn.IFS($G$20=$AF$78,_xlfn.XLOOKUP($J$20,$AG$78:$AG$82,$AH$78:$AH$82,"",0),$G$20=$AF$84,_xlfn.XLOOKUP($J$20,$AG$84:$AG$88,AH84:AH88,"",0),$G$20=$AF$90,_xlfn.XLOOKUP($J$20,AG90:AG94,AH90:AH94,"",0),$G$20=AF96,_xlfn.XLOOKUP(J20,AG96:AG100,AH96:AH100,"",0),$G$20=AF102,_xlfn.XLOOKUP(J20,AG102:AG106,AH102:AH106,"",0),$G$20=$AF$108,_xlfn.XLOOKUP(J20,AG108:AG112,AH108:AH112,"",0),G20=AF114,_xlfn.XLOOKUP(J20,AG114:AG118,AH114:AH118,"",0),G20=AF120,_xlfn.XLOOKUP(J20,AG120:AG124,AH120:AH124,"",0),G20=AF126,_xlfn.XLOOKUP(J20,AG126:AG130,AH126:AH130,"",0),G20=AF132,_xlfn.XLOOKUP(J20,AG132:AG136,AH132:AH136,"",0),G20=AF138,_xlfn.XLOOKUP(J20,AG138:AG142,AH138:AH142,"",0),G20=AF144,_xlfn.XLOOKUP(J20,AG144:AG148,AH144:AH148,"",0),G20="","โปรดระบุเกณฑ์ความสามารถ")</f>
        <v>1. สื่อสารได้อย่างคล่องแคล่ว 2. ถาม-ตอบ ตรงประเด็น อธิบายแนวคิดง่ายได้ชัดเจน 3. เจราต่อรองกับคนในทีมและต่างทีมได้</v>
      </c>
      <c r="N20" s="298"/>
      <c r="O20" s="299"/>
      <c r="P20" s="3"/>
      <c r="T20" s="24"/>
      <c r="Y20" s="22"/>
      <c r="AB20" s="29"/>
      <c r="AC20" s="29"/>
    </row>
    <row r="21" spans="1:30" ht="34.9" customHeight="1" x14ac:dyDescent="0.25">
      <c r="A21" s="244"/>
      <c r="B21" s="231"/>
      <c r="C21" s="326" t="s">
        <v>61</v>
      </c>
      <c r="D21" s="326"/>
      <c r="E21" s="326"/>
      <c r="F21" s="327"/>
      <c r="G21" s="359"/>
      <c r="H21" s="360"/>
      <c r="I21" s="293"/>
      <c r="J21" s="295"/>
      <c r="K21" s="291"/>
      <c r="L21" s="175" t="s">
        <v>62</v>
      </c>
      <c r="M21" s="313"/>
      <c r="N21" s="313"/>
      <c r="O21" s="314"/>
      <c r="P21" s="3"/>
      <c r="T21" s="24"/>
      <c r="Y21" s="22"/>
      <c r="AB21" s="29"/>
      <c r="AC21" s="29"/>
    </row>
    <row r="22" spans="1:30" ht="34.9" customHeight="1" x14ac:dyDescent="0.25">
      <c r="A22" s="244"/>
      <c r="B22" s="231"/>
      <c r="C22" s="320" t="str" cm="1">
        <f t="array" ref="C22">_xlfn.IFS($G$20=$AF$78,_xlfn.XLOOKUP($I$20,$AG$78:$AG$82,$AH$78:$AH$82,"",0),$G$20=$AF$84,_xlfn.XLOOKUP($I$20,$AG$84:$AG$88,AH84:AH88,"",0),$G$20=$AF$90,_xlfn.XLOOKUP($I$20,AG90:AG94,AH90:AH94,"",0),$G$20=AF96,_xlfn.XLOOKUP(I20,AG96:AG100,AH96:AH100,"",0),$G$20=AF102,_xlfn.XLOOKUP(I20,AG102:AG106,AH102:AH106,"",0),$G$20=$AF$108,_xlfn.XLOOKUP(I20,AG108:AG112,AH108:AH112,"",0),G20=AF114,_xlfn.XLOOKUP(I20,AG114:AG118,AH114:AH118,"",0),G20=AF120,_xlfn.XLOOKUP(I20,AG120:AG124,AH120:AH124,"",0),G20=AF126,_xlfn.XLOOKUP(I20,AG126:AG130,AH126:AH130,"",0),G20=AF132,_xlfn.XLOOKUP(I20,AG132:AG136,AH132:AH136,"",0),G20=AF138,_xlfn.XLOOKUP(I20,AG138:AG142,AH138:AH142,"",0),G20=AF144,_xlfn.XLOOKUP(I20,AG144:AG148,AH144:AH148,"",0),G20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D22" s="320"/>
      <c r="E22" s="320"/>
      <c r="F22" s="321"/>
      <c r="G22" s="359"/>
      <c r="H22" s="360"/>
      <c r="I22" s="293"/>
      <c r="J22" s="295"/>
      <c r="K22" s="291"/>
      <c r="L22" s="176"/>
      <c r="M22" s="313"/>
      <c r="N22" s="313"/>
      <c r="O22" s="314"/>
      <c r="P22" s="3"/>
      <c r="T22" s="24"/>
      <c r="W22" s="21"/>
      <c r="Y22" s="22"/>
      <c r="AB22" s="29"/>
      <c r="AC22" s="29"/>
    </row>
    <row r="23" spans="1:30" ht="34.9" customHeight="1" x14ac:dyDescent="0.25">
      <c r="A23" s="244"/>
      <c r="B23" s="231"/>
      <c r="C23" s="322"/>
      <c r="D23" s="322"/>
      <c r="E23" s="322"/>
      <c r="F23" s="323"/>
      <c r="G23" s="359"/>
      <c r="H23" s="360"/>
      <c r="I23" s="294"/>
      <c r="J23" s="295"/>
      <c r="K23" s="291"/>
      <c r="L23" s="177"/>
      <c r="M23" s="316"/>
      <c r="N23" s="316"/>
      <c r="O23" s="317"/>
      <c r="P23" s="3"/>
      <c r="T23" s="24"/>
      <c r="Y23" s="22"/>
      <c r="AB23" s="29"/>
      <c r="AC23" s="35"/>
    </row>
    <row r="24" spans="1:30" ht="40.15" customHeight="1" x14ac:dyDescent="0.25">
      <c r="A24" s="244"/>
      <c r="B24" s="230">
        <v>5</v>
      </c>
      <c r="C24" s="324" t="str">
        <f>IF(ISBLANK($G$24),"โปรดเลือกสมรรถนะที่ต้องการประเมิน",$G$24)</f>
        <v>การปรับตัว &amp; การทำงานร่วมกันเป็นทีม
(Adaptability &amp; Teamwork)</v>
      </c>
      <c r="D24" s="324"/>
      <c r="E24" s="324"/>
      <c r="F24" s="325"/>
      <c r="G24" s="361" t="s">
        <v>41</v>
      </c>
      <c r="H24" s="302"/>
      <c r="I24" s="292">
        <v>2</v>
      </c>
      <c r="J24" s="295">
        <v>1</v>
      </c>
      <c r="K24" s="291" t="str">
        <f>IF($J$24="","ระบุ",IF($J$24&lt;$I$24,"Below",IF($J$24=$I$24,"Meet","Exceed")))</f>
        <v>Below</v>
      </c>
      <c r="L24" s="66" t="s">
        <v>57</v>
      </c>
      <c r="M24" s="298" t="str" cm="1">
        <f t="array" ref="M24">_xlfn.IFS($G$24=$AF$78,_xlfn.XLOOKUP($J$24,$AG$78:$AG$82,$AH$78:$AH$82,"",0),$G$24=$AF$84,_xlfn.XLOOKUP($J$24,$AG$84:$AG$88,AH84:AH88,"",0),$G$24=$AF$90,_xlfn.XLOOKUP($J$24,AG90:AG94,AH90:AH94,"",0),$G$24=AF96,_xlfn.XLOOKUP(J24,AG96:AG100,AH96:AH100,"",0),$G$24=AF102,_xlfn.XLOOKUP(J24,AG102:AG106,AH102:AH106,"",0),$G$24=$AF$108,_xlfn.XLOOKUP(J24,AG108:AG112,AH108:AH112,"",0),G24=AF114,_xlfn.XLOOKUP(J24,AG114:AG118,AH114:AH118,"",0),G24=AF120,_xlfn.XLOOKUP(J24,AG120:AG124,AH120:AH124,"",0),G24=AF126,_xlfn.XLOOKUP(J24,AG126:AG130,AH126:AH130,"",0),G24=AF132,_xlfn.XLOOKUP(J24,AG132:AG136,AH132:AH136,"",0),G24=AF138,_xlfn.XLOOKUP(J24,AG138:AG142,AH138:AH142,"",0),G24=AF144,_xlfn.XLOOKUP(J24,AG144:AG148,AH144:AH148,"",0),G24="","โปรดระบุเกณฑ์ความสามารถ")</f>
        <v>ชอบทำงานคนเดียว/ ไม่ฟังความคิดเห็น /ไม่พูด / พูดไม่รู้เรื่อง</v>
      </c>
      <c r="N24" s="298"/>
      <c r="O24" s="299"/>
      <c r="P24" s="3"/>
    </row>
    <row r="25" spans="1:30" ht="34.9" customHeight="1" x14ac:dyDescent="0.25">
      <c r="A25" s="244"/>
      <c r="B25" s="231"/>
      <c r="C25" s="311" t="s">
        <v>61</v>
      </c>
      <c r="D25" s="311"/>
      <c r="E25" s="311"/>
      <c r="F25" s="312"/>
      <c r="G25" s="361"/>
      <c r="H25" s="302"/>
      <c r="I25" s="293"/>
      <c r="J25" s="295"/>
      <c r="K25" s="291"/>
      <c r="L25" s="175" t="s">
        <v>62</v>
      </c>
      <c r="M25" s="313"/>
      <c r="N25" s="313"/>
      <c r="O25" s="314"/>
      <c r="P25" s="3"/>
      <c r="T25" s="80" t="s">
        <v>90</v>
      </c>
      <c r="U25" s="80" t="s">
        <v>91</v>
      </c>
      <c r="V25" s="80" t="s">
        <v>92</v>
      </c>
      <c r="W25" s="83" t="s">
        <v>19</v>
      </c>
      <c r="X25" s="83" t="s">
        <v>93</v>
      </c>
      <c r="Y25" s="91" t="s">
        <v>94</v>
      </c>
      <c r="Z25" s="83" t="s">
        <v>95</v>
      </c>
      <c r="AA25" s="89"/>
      <c r="AB25" s="89"/>
      <c r="AC25" s="89"/>
      <c r="AD25" s="89"/>
    </row>
    <row r="26" spans="1:30" ht="34.9" customHeight="1" x14ac:dyDescent="0.5">
      <c r="A26" s="244"/>
      <c r="B26" s="231"/>
      <c r="C26" s="320" t="str" cm="1">
        <f t="array" ref="C26">_xlfn.IFS($G$24=$AF$78,_xlfn.XLOOKUP($I$24,$AG$78:$AG$82,$AH$78:$AH$82,"",0),$G$24=$AF$84,_xlfn.XLOOKUP($I$24,$AG$84:$AG$88,AH84:AH88,"",0),$G$24=$AF$90,_xlfn.XLOOKUP($I$24,AG90:AG94,AH90:AH94,"",0),$G$24=AF96,_xlfn.XLOOKUP(I24,AG96:AG100,AH96:AH100,"",0),$G$24=AF102,_xlfn.XLOOKUP(I24,AG102:AG106,AH102:AH106,"",0),$G$24=$AF$108,_xlfn.XLOOKUP(I24,AG108:AG112,AH108:AH112,"",0),G24=AF114,_xlfn.XLOOKUP(I24,AG114:AG118,AH114:AH118,"",0),G24=AF120,_xlfn.XLOOKUP(I24,AG120:AG124,AH120:AH124,"",0),G24=AF126,_xlfn.XLOOKUP(I24,AG126:AG130,AH126:AH130,"",0),G24=AF132,_xlfn.XLOOKUP(I24,AG132:AG136,AH132:AH136,"",0),G24=AF138,_xlfn.XLOOKUP(I24,AG138:AG142,AH138:AH142,"",0),G24=AF144,_xlfn.XLOOKUP(I24,AG144:AG148,AH144:AH148,"",0),G24="","โปรดระบุเกณฑ์ความสามารถ"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26" s="320"/>
      <c r="E26" s="320"/>
      <c r="F26" s="321"/>
      <c r="G26" s="361"/>
      <c r="H26" s="302"/>
      <c r="I26" s="293"/>
      <c r="J26" s="295"/>
      <c r="K26" s="291"/>
      <c r="L26" s="176"/>
      <c r="M26" s="313"/>
      <c r="N26" s="313"/>
      <c r="O26" s="314"/>
      <c r="P26" s="3"/>
      <c r="T26" s="82" t="s">
        <v>10</v>
      </c>
      <c r="U26" s="80">
        <v>1</v>
      </c>
      <c r="V26" s="80">
        <f>$I$8</f>
        <v>2</v>
      </c>
      <c r="W26" s="83">
        <f>$J$8</f>
        <v>2</v>
      </c>
      <c r="X26" s="78">
        <f>IF($J$8&lt;$I$8,1,IF($J$8=$I$8,2,3))</f>
        <v>2</v>
      </c>
      <c r="Y26" s="91"/>
      <c r="Z26" s="84"/>
      <c r="AA26" s="243"/>
      <c r="AB26" s="243"/>
      <c r="AC26" s="243"/>
      <c r="AD26" s="226"/>
    </row>
    <row r="27" spans="1:30" ht="34.9" customHeight="1" x14ac:dyDescent="0.5">
      <c r="A27" s="244"/>
      <c r="B27" s="231"/>
      <c r="C27" s="322"/>
      <c r="D27" s="322"/>
      <c r="E27" s="322"/>
      <c r="F27" s="323"/>
      <c r="G27" s="361"/>
      <c r="H27" s="302"/>
      <c r="I27" s="294"/>
      <c r="J27" s="295"/>
      <c r="K27" s="291"/>
      <c r="L27" s="177"/>
      <c r="M27" s="316"/>
      <c r="N27" s="316"/>
      <c r="O27" s="317"/>
      <c r="P27" s="3"/>
      <c r="T27" s="82" t="s">
        <v>10</v>
      </c>
      <c r="U27" s="80">
        <v>2</v>
      </c>
      <c r="V27" s="80">
        <f>$I$12</f>
        <v>3</v>
      </c>
      <c r="W27" s="83">
        <f>$J$12</f>
        <v>3</v>
      </c>
      <c r="X27" s="78">
        <f>IF($J$12&lt;$I$12,1,IF($J$12=$I$12,2,3))</f>
        <v>2</v>
      </c>
      <c r="Y27" s="91"/>
      <c r="Z27" s="85"/>
      <c r="AA27" s="243"/>
      <c r="AB27" s="243"/>
      <c r="AC27" s="243"/>
      <c r="AD27" s="226"/>
    </row>
    <row r="28" spans="1:30" ht="40.15" customHeight="1" x14ac:dyDescent="0.5">
      <c r="A28" s="227" t="s">
        <v>96</v>
      </c>
      <c r="B28" s="230">
        <v>6</v>
      </c>
      <c r="C28" s="324" t="str">
        <f>IF(ISBLANK($G$28),"โปรดเลือกสมรรถนะที่ต้องการประเมิน",$G$28)</f>
        <v>การปรับตัว &amp; การทำงานร่วมกันเป็นทีม
(Adaptability &amp; Teamwork)</v>
      </c>
      <c r="D28" s="324"/>
      <c r="E28" s="324"/>
      <c r="F28" s="325"/>
      <c r="G28" s="301" t="s">
        <v>41</v>
      </c>
      <c r="H28" s="301"/>
      <c r="I28" s="292">
        <v>2</v>
      </c>
      <c r="J28" s="295">
        <v>3</v>
      </c>
      <c r="K28" s="291" t="str">
        <f>IF($J$28="","ระบุ",IF($J$28&lt;$I$28,"Below",IF($J$28=$I$28,"Meet","Exceed")))</f>
        <v>Exceed</v>
      </c>
      <c r="L28" s="66" t="s">
        <v>57</v>
      </c>
      <c r="M28" s="298" t="str" cm="1">
        <f t="array" ref="M28">_xlfn.IFS($G$28=$AF$78,_xlfn.XLOOKUP($J$28,$AG$78:$AG$82,$AH$78:$AH$82,"",0),$G$28=$AF$84,_xlfn.XLOOKUP($J$28,$AG$84:$AG$88,AH84:AH88,"",0),$G$28=$AF$90,_xlfn.XLOOKUP($J$28,AG90:AG94,AH90:AH94,"",0),$G$28=AF96,_xlfn.XLOOKUP($J$28,AG96:AG100,AH96:AH100,"",0),$G$28=AF102,_xlfn.XLOOKUP(J28,AG102:AG106,AH102:AH106,"",0),$G$28=$AF$108,_xlfn.XLOOKUP($J$28,AG108:AG112,AH108:AH112,"",0),G28=AF114,_xlfn.XLOOKUP(J28,AG114:AG118,AH114:AH118,"",0),G28=AF120,_xlfn.XLOOKUP(J28,AG120:AG124,AH120:AH124,"",0),G28=AF126,_xlfn.XLOOKUP(J28,AG126:AG130,AH126:AH130,"",0),G28=AF132,_xlfn.XLOOKUP(J28,AG132:AG136,AH132:AH136,"",0),G28=AF138,_xlfn.XLOOKUP(J28,AG138:AG142,AH138:AH142,"",0),G28=AF144,_xlfn.XLOOKUP(J28,AG144:AG148,AH144:AH148,"",0),G28="","โปรดระบุเกณฑ์ความสามารถ")</f>
        <v>1. มีความยืดหยุ่น 2. พร้อมรับฟังความคิดเห็น 3. สื่อสารกับทีมได้ดีพอประมาณ</v>
      </c>
      <c r="N28" s="298"/>
      <c r="O28" s="299"/>
      <c r="P28" s="3"/>
      <c r="T28" s="82" t="s">
        <v>10</v>
      </c>
      <c r="U28" s="80">
        <v>3</v>
      </c>
      <c r="V28" s="80">
        <f>$I$16</f>
        <v>2</v>
      </c>
      <c r="W28" s="83">
        <f>$J$16</f>
        <v>2</v>
      </c>
      <c r="X28" s="78">
        <f>IF($J$16&lt;$I$16,1,IF($J$16=$I$16,2,3))</f>
        <v>2</v>
      </c>
      <c r="Y28" s="91"/>
      <c r="Z28" s="85"/>
      <c r="AA28" s="243"/>
      <c r="AB28" s="243"/>
      <c r="AC28" s="243"/>
      <c r="AD28" s="226"/>
    </row>
    <row r="29" spans="1:30" ht="34.9" customHeight="1" x14ac:dyDescent="0.5">
      <c r="A29" s="228"/>
      <c r="B29" s="231"/>
      <c r="C29" s="311" t="s">
        <v>61</v>
      </c>
      <c r="D29" s="311"/>
      <c r="E29" s="311"/>
      <c r="F29" s="312"/>
      <c r="G29" s="301"/>
      <c r="H29" s="301"/>
      <c r="I29" s="293"/>
      <c r="J29" s="295"/>
      <c r="K29" s="291"/>
      <c r="L29" s="175" t="s">
        <v>62</v>
      </c>
      <c r="M29" s="313"/>
      <c r="N29" s="313"/>
      <c r="O29" s="314"/>
      <c r="P29" s="3"/>
      <c r="T29" s="82" t="s">
        <v>13</v>
      </c>
      <c r="U29" s="80">
        <v>4</v>
      </c>
      <c r="V29" s="80">
        <f>$I$20</f>
        <v>2</v>
      </c>
      <c r="W29" s="83">
        <f>$J$20</f>
        <v>3</v>
      </c>
      <c r="X29" s="78">
        <f>IF($J$20&lt;$I$20,1,IF($J$20=$I$20,2,3))</f>
        <v>3</v>
      </c>
      <c r="Y29" s="91"/>
      <c r="Z29" s="85"/>
      <c r="AA29" s="243"/>
      <c r="AB29" s="243"/>
      <c r="AC29" s="243"/>
      <c r="AD29" s="226"/>
    </row>
    <row r="30" spans="1:30" ht="34.9" customHeight="1" x14ac:dyDescent="0.5">
      <c r="A30" s="228"/>
      <c r="B30" s="231"/>
      <c r="C30" s="320" t="str" cm="1">
        <f t="array" ref="C30">_xlfn.IFS($G$28=$AF$78,_xlfn.XLOOKUP($I$28,$AG$78:$AG$82,$AH$78:$AH$82,"",0),$G$28=$AF$84,_xlfn.XLOOKUP($I$28,$AG$84:$AG$88,AH84:AH88,"",0),$G$28=$AF$90,_xlfn.XLOOKUP($I$28,AG90:AG94,AH90:AH94,"",0),$G$28=AF96,_xlfn.XLOOKUP($I$28,AG96:AG100,AH96:AH100,"",0),$G$28=AF102,_xlfn.XLOOKUP(I28,AG102:AG106,AH102:AH106,"",0),$G$28=$AF$108,_xlfn.XLOOKUP($I$28,AG108:AG112,AH108:AH112,"",0),G28=AF114,_xlfn.XLOOKUP(I28,AG114:AG118,AH114:AH118,"",0),G28=AF120,_xlfn.XLOOKUP(I28,AG120:AG124,AH120:AH124,"",0),G28=AF126,_xlfn.XLOOKUP(I28,AG126:AG130,AH126:AH130,"",0),G28=AF132,_xlfn.XLOOKUP(I28,AG132:AG136,AH132:AH136,"",0),G28=AF138,_xlfn.XLOOKUP(I28,AG138:AG142,AH138:AH142,"",0),G28=AF144,_xlfn.XLOOKUP(I28,AG144:AG148,AH144:AH148,"",0),G28="","โปรดระบุเกณฑ์ความสามารถ"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30" s="320"/>
      <c r="E30" s="320"/>
      <c r="F30" s="321"/>
      <c r="G30" s="362"/>
      <c r="H30" s="362"/>
      <c r="I30" s="293"/>
      <c r="J30" s="295"/>
      <c r="K30" s="291"/>
      <c r="L30" s="176"/>
      <c r="M30" s="313"/>
      <c r="N30" s="313"/>
      <c r="O30" s="314"/>
      <c r="P30" s="3"/>
      <c r="T30" s="82" t="s">
        <v>13</v>
      </c>
      <c r="U30" s="80">
        <v>5</v>
      </c>
      <c r="V30" s="80">
        <f>$I$24</f>
        <v>2</v>
      </c>
      <c r="W30" s="83">
        <f>$J$24</f>
        <v>1</v>
      </c>
      <c r="X30" s="78">
        <f>IF($J$24&lt;$I$24,1,IF($J$24=$I$24,2,3))</f>
        <v>1</v>
      </c>
      <c r="Y30" s="91"/>
      <c r="Z30" s="85"/>
      <c r="AA30" s="243"/>
      <c r="AB30" s="243"/>
      <c r="AC30" s="243"/>
      <c r="AD30" s="226"/>
    </row>
    <row r="31" spans="1:30" ht="34.9" customHeight="1" x14ac:dyDescent="0.5">
      <c r="A31" s="228"/>
      <c r="B31" s="231"/>
      <c r="C31" s="322"/>
      <c r="D31" s="322"/>
      <c r="E31" s="322"/>
      <c r="F31" s="323"/>
      <c r="G31" s="301"/>
      <c r="H31" s="301"/>
      <c r="I31" s="294"/>
      <c r="J31" s="295"/>
      <c r="K31" s="291"/>
      <c r="L31" s="177"/>
      <c r="M31" s="316"/>
      <c r="N31" s="316"/>
      <c r="O31" s="317"/>
      <c r="P31" s="3"/>
      <c r="T31" s="82" t="s">
        <v>16</v>
      </c>
      <c r="U31" s="80">
        <v>6</v>
      </c>
      <c r="V31" s="80">
        <f>$I$28</f>
        <v>2</v>
      </c>
      <c r="W31" s="83">
        <f>$J$28</f>
        <v>3</v>
      </c>
      <c r="X31" s="78">
        <f>IF($J$28&lt;$I$28,1,IF($J$28=$I$28,2,3))</f>
        <v>3</v>
      </c>
      <c r="Y31" s="91"/>
      <c r="Z31" s="85"/>
      <c r="AA31" s="243"/>
      <c r="AB31" s="243"/>
      <c r="AC31" s="243"/>
      <c r="AD31" s="226"/>
    </row>
    <row r="32" spans="1:30" ht="40.15" customHeight="1" x14ac:dyDescent="0.5">
      <c r="A32" s="228"/>
      <c r="B32" s="230">
        <v>7</v>
      </c>
      <c r="C32" s="324" t="str">
        <f>IF(ISBLANK($G$32),"โปรดเลือกสมรรถนะที่ต้องการประเมิน",$G$32)</f>
        <v>พัฒนาทักษะตัวเองอยู่เสมอ 
(Self-Development)</v>
      </c>
      <c r="D32" s="324"/>
      <c r="E32" s="324"/>
      <c r="F32" s="325"/>
      <c r="G32" s="302" t="s">
        <v>25</v>
      </c>
      <c r="H32" s="302"/>
      <c r="I32" s="292">
        <v>2</v>
      </c>
      <c r="J32" s="295">
        <v>2</v>
      </c>
      <c r="K32" s="291" t="str">
        <f>IF($J$32="","ระบุ",IF($J$32&lt;$I$32,"Below",IF($J$32=$I$32,"Meet","Exceed")))</f>
        <v>Meet</v>
      </c>
      <c r="L32" s="66" t="s">
        <v>57</v>
      </c>
      <c r="M32" s="298" t="str" cm="1">
        <f t="array" ref="M32">_xlfn.IFS($G$32=$AF$78,_xlfn.XLOOKUP($J$32,$AG$78:$AG$82,$AH$78:$AH$82,"",0),$G$32=$AF$84,_xlfn.XLOOKUP($J$32,$AG$84:$AG$88,AH84:AH88,"",0),$G$32=$AF$90,_xlfn.XLOOKUP($J$32,AG90:AG94,AH90:AH94,"",0),$G$32=AF96,_xlfn.XLOOKUP($J$32,AG96:AG100,AH96:AH100,"",0),$G$32=AF102,_xlfn.XLOOKUP(J32,AG102:AG106,AH102:AH106,"",0),$G$32=$AF$108,_xlfn.XLOOKUP($J$32,AG108:AG112,AH108:AH112,"",0),G32=AF114,_xlfn.XLOOKUP(J32,AG114:AG118,AH114:AH118,"",0),G32=AF120,_xlfn.XLOOKUP(J32,AG120:AG124,AH120:AH124,"",0),G32=AF126,_xlfn.XLOOKUP(J32,AG126:AG130,AH126:AH130,"",0),G32=AF132,_xlfn.XLOOKUP(J32,AG132:AG136,AH132:AH136,"",0),G32=AF138,_xlfn.XLOOKUP(J32,AG138:AG142,AH138:AH142,"",0),G32=AF144,_xlfn.XLOOKUP(J32,AG144:AG148,AH144:AH148,"",0),G32="","โปรดระบุเกณฑ์ความสามารถ")</f>
        <v>มักพัฒนาเฉพาะทักษะที่จำเป็นต้องใช้ในการทำงาน</v>
      </c>
      <c r="N32" s="298"/>
      <c r="O32" s="299"/>
      <c r="P32" s="3"/>
      <c r="T32" s="82" t="s">
        <v>16</v>
      </c>
      <c r="U32" s="80">
        <v>7</v>
      </c>
      <c r="V32" s="80">
        <f>$I$32</f>
        <v>2</v>
      </c>
      <c r="W32" s="83">
        <f>$J$32</f>
        <v>2</v>
      </c>
      <c r="X32" s="78">
        <f>IF($J$32&lt;$I$32,1,IF($J$32=$I$32,2,3))</f>
        <v>2</v>
      </c>
      <c r="Y32" s="91"/>
      <c r="Z32" s="85"/>
      <c r="AA32" s="243"/>
      <c r="AB32" s="243"/>
      <c r="AC32" s="243"/>
      <c r="AD32" s="226"/>
    </row>
    <row r="33" spans="1:30" ht="34.9" customHeight="1" x14ac:dyDescent="0.5">
      <c r="A33" s="228"/>
      <c r="B33" s="231"/>
      <c r="C33" s="303" t="s">
        <v>61</v>
      </c>
      <c r="D33" s="303"/>
      <c r="E33" s="303"/>
      <c r="F33" s="304"/>
      <c r="G33" s="302"/>
      <c r="H33" s="302"/>
      <c r="I33" s="293"/>
      <c r="J33" s="295"/>
      <c r="K33" s="291"/>
      <c r="L33" s="175" t="s">
        <v>62</v>
      </c>
      <c r="M33" s="313"/>
      <c r="N33" s="313"/>
      <c r="O33" s="314"/>
      <c r="P33" s="3"/>
      <c r="T33" s="82" t="s">
        <v>97</v>
      </c>
      <c r="U33" s="80"/>
      <c r="V33" s="80">
        <f>SUM($V$26:$V$32)</f>
        <v>15</v>
      </c>
      <c r="W33" s="80">
        <f>SUM($W$26:$W$32)</f>
        <v>16</v>
      </c>
      <c r="X33" s="78">
        <f>SUM($X$26:$X$32)</f>
        <v>15</v>
      </c>
      <c r="Y33" s="91"/>
      <c r="Z33" s="86"/>
      <c r="AA33" s="243"/>
      <c r="AB33" s="243"/>
      <c r="AC33" s="243"/>
      <c r="AD33" s="226"/>
    </row>
    <row r="34" spans="1:30" ht="34.9" customHeight="1" x14ac:dyDescent="0.5">
      <c r="A34" s="229"/>
      <c r="B34" s="231"/>
      <c r="C34" s="320" t="str" cm="1">
        <f t="array" ref="C34">_xlfn.IFS($G$32=$AF$78,_xlfn.XLOOKUP($I$32,$AG$78:$AG$82,$AH$78:$AH$82,"",0),$G$32=$AF$84,_xlfn.XLOOKUP($I$32,$AG$84:$AG$88,AH84:AH88,"",0),$G$32=$AF$90,_xlfn.XLOOKUP($I$32,AG90:AG94,AH90:AH94,"",0),$G$32=AF96,_xlfn.XLOOKUP($I$32,AG96:AG100,AH96:AH100,"",0),$G$32=AF102,_xlfn.XLOOKUP(I32,AG102:AG106,AH102:AH106,"",0),$G$32=$AF$108,_xlfn.XLOOKUP($I$32,AG108:AG112,AH108:AH112,"",0),G32=AF114,_xlfn.XLOOKUP(I32,AG114:AG118,AH114:AH118,"",0),G32=AF120,_xlfn.XLOOKUP(I32,AG120:AG124,AH120:AH124,"",0),G32=AF126,_xlfn.XLOOKUP(I32,AG126:AG130,AH126:AH130,"",0),G32=AF132,_xlfn.XLOOKUP(I32,AG132:AG136,AH132:AH136,"",0),G32=AF138,_xlfn.XLOOKUP(I32,AG138:AG142,AH138:AH142,"",0),G32=AF144,_xlfn.XLOOKUP(I32,AG144:AG148,AH144:AH148,"",0),G32="","โปรดระบุเกณฑ์ความสามารถ")</f>
        <v>มักพัฒนาเฉพาะทักษะที่จำเป็นต้องใช้ในการทำงาน</v>
      </c>
      <c r="D34" s="320"/>
      <c r="E34" s="320"/>
      <c r="F34" s="321"/>
      <c r="G34" s="315"/>
      <c r="H34" s="315"/>
      <c r="I34" s="293"/>
      <c r="J34" s="295"/>
      <c r="K34" s="291"/>
      <c r="L34" s="176"/>
      <c r="M34" s="313"/>
      <c r="N34" s="313"/>
      <c r="O34" s="314"/>
      <c r="P34" s="3"/>
      <c r="T34" s="81"/>
      <c r="U34" s="81"/>
      <c r="V34" s="81"/>
      <c r="W34" s="88"/>
      <c r="X34" s="88"/>
      <c r="Y34" s="88"/>
      <c r="Z34" s="88"/>
      <c r="AA34" s="88"/>
      <c r="AB34" s="88"/>
      <c r="AC34" s="88"/>
    </row>
    <row r="35" spans="1:30" ht="34.9" customHeight="1" x14ac:dyDescent="0.25">
      <c r="A35" s="228"/>
      <c r="B35" s="261"/>
      <c r="C35" s="322"/>
      <c r="D35" s="322"/>
      <c r="E35" s="322"/>
      <c r="F35" s="323"/>
      <c r="G35" s="302"/>
      <c r="H35" s="302"/>
      <c r="I35" s="294"/>
      <c r="J35" s="295"/>
      <c r="K35" s="291"/>
      <c r="L35" s="177"/>
      <c r="M35" s="316"/>
      <c r="N35" s="316"/>
      <c r="O35" s="317"/>
      <c r="P35" s="3"/>
      <c r="T35" s="83" t="s">
        <v>98</v>
      </c>
      <c r="U35" s="91" t="s">
        <v>99</v>
      </c>
      <c r="V35" s="83" t="s">
        <v>100</v>
      </c>
      <c r="W35" s="83" t="s">
        <v>101</v>
      </c>
      <c r="X35" s="83" t="s">
        <v>102</v>
      </c>
      <c r="Y35" s="89"/>
      <c r="Z35" s="89"/>
      <c r="AA35" s="89"/>
      <c r="AB35" s="89"/>
      <c r="AC35" s="89"/>
    </row>
    <row r="36" spans="1:30" ht="51" customHeight="1" x14ac:dyDescent="0.25">
      <c r="A36" s="259"/>
      <c r="B36" s="259"/>
      <c r="C36" s="259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3"/>
      <c r="T36" s="83">
        <f>COUNTIFS($K$20:$K$27,"Below")</f>
        <v>1</v>
      </c>
      <c r="U36" s="91">
        <f>COUNTIF($K$8:$K$19,"Below")</f>
        <v>0</v>
      </c>
      <c r="V36" s="63">
        <f>COUNTIFS($K$28:$K$35,"Below")</f>
        <v>0</v>
      </c>
      <c r="W36" s="83" t="s">
        <v>103</v>
      </c>
      <c r="X36" s="83" t="s">
        <v>103</v>
      </c>
      <c r="Y36" s="92"/>
      <c r="Z36" s="92"/>
      <c r="AA36" s="243"/>
      <c r="AB36" s="243"/>
      <c r="AC36" s="226"/>
    </row>
    <row r="37" spans="1:30" ht="34.5" x14ac:dyDescent="0.7">
      <c r="A37" s="17" t="s">
        <v>104</v>
      </c>
      <c r="B37" s="18"/>
      <c r="C37" s="8"/>
      <c r="D37" s="8"/>
      <c r="E37" s="8"/>
      <c r="F37" s="9"/>
      <c r="G37" s="10"/>
      <c r="H37" s="8"/>
      <c r="I37" s="8"/>
      <c r="J37" s="18" t="s">
        <v>105</v>
      </c>
      <c r="K37" s="8"/>
      <c r="L37" s="2"/>
      <c r="M37" s="2"/>
      <c r="N37" s="2"/>
      <c r="O37" s="2"/>
      <c r="P37" s="3"/>
      <c r="T37" s="83">
        <f>COUNTIF($K$20:$K$27,"Meet")</f>
        <v>0</v>
      </c>
      <c r="U37" s="91">
        <f>COUNTIF($K$8:$K$19,"Meet")</f>
        <v>3</v>
      </c>
      <c r="V37" s="63">
        <f>COUNTIFS($K$28:$K$35,"Meet")</f>
        <v>1</v>
      </c>
      <c r="W37" s="80">
        <f>SUM($I$8:$I$19)</f>
        <v>7</v>
      </c>
      <c r="X37" s="80">
        <f>SUM($J$8:$J$19)</f>
        <v>7</v>
      </c>
      <c r="Y37" s="92"/>
      <c r="Z37" s="92"/>
      <c r="AA37" s="243"/>
      <c r="AB37" s="243"/>
      <c r="AC37" s="226"/>
    </row>
    <row r="38" spans="1:30" ht="23.45" customHeight="1" x14ac:dyDescent="0.25">
      <c r="A38" s="338"/>
      <c r="B38" s="336"/>
      <c r="C38" s="336"/>
      <c r="D38" s="336"/>
      <c r="E38" s="336"/>
      <c r="F38" s="336"/>
      <c r="G38" s="336"/>
      <c r="H38" s="8"/>
      <c r="I38" s="8"/>
      <c r="J38" s="336"/>
      <c r="K38" s="336"/>
      <c r="L38" s="336"/>
      <c r="M38" s="336"/>
      <c r="N38" s="336"/>
      <c r="O38" s="336"/>
      <c r="P38" s="3"/>
      <c r="T38" s="83">
        <f>COUNTIF($K$20:$K$27,"Exceed")</f>
        <v>1</v>
      </c>
      <c r="U38" s="91">
        <f>COUNTIF($K$8:$K$19,"Exceed")</f>
        <v>0</v>
      </c>
      <c r="V38" s="63">
        <f>COUNTIFS($K$28:$K$35,"Exceed")</f>
        <v>1</v>
      </c>
      <c r="W38" s="83" t="s">
        <v>106</v>
      </c>
      <c r="X38" s="83" t="s">
        <v>106</v>
      </c>
      <c r="Y38" s="92"/>
      <c r="Z38" s="92"/>
      <c r="AA38" s="243"/>
      <c r="AB38" s="243"/>
      <c r="AC38" s="226"/>
    </row>
    <row r="39" spans="1:30" ht="23.45" customHeight="1" x14ac:dyDescent="0.5">
      <c r="A39" s="339"/>
      <c r="B39" s="337"/>
      <c r="C39" s="337"/>
      <c r="D39" s="337"/>
      <c r="E39" s="337"/>
      <c r="F39" s="337"/>
      <c r="G39" s="337"/>
      <c r="H39" s="8"/>
      <c r="I39" s="8"/>
      <c r="J39" s="337"/>
      <c r="K39" s="337"/>
      <c r="L39" s="337"/>
      <c r="M39" s="337"/>
      <c r="N39" s="337"/>
      <c r="O39" s="337"/>
      <c r="P39" s="3"/>
      <c r="T39" s="90"/>
      <c r="U39" s="92"/>
      <c r="W39" s="80">
        <f>SUM($I$20:$I$27)</f>
        <v>4</v>
      </c>
      <c r="X39" s="80">
        <f>SUM($J$20:$J$27)</f>
        <v>4</v>
      </c>
      <c r="Y39" s="92"/>
      <c r="Z39" s="92"/>
      <c r="AA39" s="243"/>
      <c r="AB39" s="243"/>
      <c r="AC39" s="226"/>
    </row>
    <row r="40" spans="1:30" ht="23.45" customHeight="1" x14ac:dyDescent="0.5">
      <c r="A40" s="11"/>
      <c r="B40" s="32"/>
      <c r="C40" s="14"/>
      <c r="D40" s="14"/>
      <c r="E40" s="14"/>
      <c r="F40" s="14"/>
      <c r="G40" s="14"/>
      <c r="H40" s="14"/>
      <c r="I40" s="14"/>
      <c r="J40" s="14"/>
      <c r="K40" s="15"/>
      <c r="L40" s="16"/>
      <c r="M40" s="16"/>
      <c r="N40" s="16"/>
      <c r="O40" s="16"/>
      <c r="P40" s="3"/>
      <c r="T40" s="90"/>
      <c r="U40" s="92"/>
      <c r="W40" s="83" t="s">
        <v>107</v>
      </c>
      <c r="X40" s="83" t="s">
        <v>107</v>
      </c>
      <c r="Y40" s="92"/>
      <c r="Z40" s="92"/>
      <c r="AA40" s="243"/>
      <c r="AB40" s="243"/>
      <c r="AC40" s="226"/>
    </row>
    <row r="41" spans="1:30" ht="23.45" customHeight="1" x14ac:dyDescent="0.5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8"/>
      <c r="L41" s="2"/>
      <c r="M41" s="2"/>
      <c r="N41" s="2"/>
      <c r="O41" s="2"/>
      <c r="P41" s="3"/>
      <c r="T41" s="90"/>
      <c r="U41" s="92"/>
      <c r="W41" s="80">
        <f>SUM($I$28:$I$35)</f>
        <v>4</v>
      </c>
      <c r="X41" s="80">
        <f>SUM($J$28:$J$35)</f>
        <v>5</v>
      </c>
      <c r="Y41" s="92"/>
      <c r="Z41" s="92"/>
      <c r="AA41" s="243"/>
      <c r="AB41" s="243"/>
      <c r="AC41" s="226"/>
    </row>
    <row r="42" spans="1:30" ht="34.5" x14ac:dyDescent="0.7">
      <c r="A42" s="252" t="s">
        <v>108</v>
      </c>
      <c r="B42" s="252"/>
      <c r="C42" s="252"/>
      <c r="D42" s="252"/>
      <c r="E42" s="252"/>
      <c r="F42" s="252"/>
      <c r="G42" s="2"/>
      <c r="H42" s="2"/>
      <c r="I42" s="2"/>
      <c r="J42" s="2"/>
      <c r="K42" s="2"/>
      <c r="L42" s="2"/>
      <c r="M42" s="2"/>
      <c r="N42" s="2"/>
      <c r="O42" s="2"/>
      <c r="P42" s="3"/>
      <c r="T42" s="90"/>
      <c r="U42" s="92"/>
      <c r="V42" s="92"/>
      <c r="W42" s="92"/>
      <c r="X42" s="92"/>
      <c r="Y42" s="92"/>
      <c r="Z42" s="92"/>
      <c r="AA42" s="243"/>
      <c r="AB42" s="243"/>
      <c r="AC42" s="226"/>
    </row>
    <row r="43" spans="1:30" ht="23.45" customHeight="1" x14ac:dyDescent="0.5">
      <c r="A43" s="335"/>
      <c r="B43" s="335"/>
      <c r="C43" s="335"/>
      <c r="D43" s="335"/>
      <c r="E43" s="335"/>
      <c r="F43" s="335"/>
      <c r="G43" s="335"/>
      <c r="H43" s="335"/>
      <c r="I43" s="335"/>
      <c r="J43" s="335"/>
      <c r="K43" s="335"/>
      <c r="L43" s="335"/>
      <c r="M43" s="335"/>
      <c r="N43" s="335"/>
      <c r="O43" s="335"/>
      <c r="P43" s="3"/>
      <c r="T43" s="90"/>
      <c r="U43" s="92"/>
      <c r="V43" s="92"/>
      <c r="W43" s="92"/>
      <c r="X43" s="92"/>
      <c r="Y43" s="92"/>
      <c r="Z43" s="92"/>
      <c r="AA43" s="243"/>
      <c r="AB43" s="243"/>
      <c r="AC43" s="226"/>
    </row>
    <row r="44" spans="1:30" ht="23.45" customHeight="1" x14ac:dyDescent="0.5">
      <c r="A44" s="335"/>
      <c r="B44" s="335"/>
      <c r="C44" s="335"/>
      <c r="D44" s="335"/>
      <c r="E44" s="335"/>
      <c r="F44" s="335"/>
      <c r="G44" s="335"/>
      <c r="H44" s="335"/>
      <c r="I44" s="335"/>
      <c r="J44" s="335"/>
      <c r="K44" s="335"/>
      <c r="L44" s="335"/>
      <c r="M44" s="335"/>
      <c r="N44" s="335"/>
      <c r="O44" s="335"/>
      <c r="P44" s="3"/>
      <c r="T44" s="81"/>
      <c r="U44" s="81"/>
      <c r="V44" s="81"/>
      <c r="W44" s="38"/>
      <c r="X44" s="81"/>
      <c r="Y44" s="81"/>
    </row>
    <row r="45" spans="1:30" ht="23.45" customHeight="1" x14ac:dyDescent="0.5">
      <c r="A45" s="335"/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M45" s="335"/>
      <c r="N45" s="335"/>
      <c r="O45" s="335"/>
      <c r="P45" s="3"/>
      <c r="T45" s="81"/>
      <c r="U45" s="81"/>
      <c r="V45" s="81"/>
      <c r="W45" s="38"/>
      <c r="X45" s="81"/>
      <c r="Y45" s="81"/>
    </row>
    <row r="46" spans="1:30" ht="23.45" customHeight="1" x14ac:dyDescent="0.25">
      <c r="A46" s="335"/>
      <c r="B46" s="335"/>
      <c r="C46" s="335"/>
      <c r="D46" s="335"/>
      <c r="E46" s="335"/>
      <c r="F46" s="335"/>
      <c r="G46" s="335"/>
      <c r="H46" s="335"/>
      <c r="I46" s="335"/>
      <c r="J46" s="335"/>
      <c r="K46" s="335"/>
      <c r="L46" s="335"/>
      <c r="M46" s="335"/>
      <c r="N46" s="335"/>
      <c r="O46" s="335"/>
      <c r="P46" s="3"/>
      <c r="W46" s="79"/>
    </row>
    <row r="47" spans="1:30" ht="23.45" customHeight="1" x14ac:dyDescent="0.25">
      <c r="A47" s="335"/>
      <c r="B47" s="335"/>
      <c r="C47" s="335"/>
      <c r="D47" s="335"/>
      <c r="E47" s="335"/>
      <c r="F47" s="335"/>
      <c r="G47" s="335"/>
      <c r="H47" s="335"/>
      <c r="I47" s="335"/>
      <c r="J47" s="335"/>
      <c r="K47" s="335"/>
      <c r="L47" s="335"/>
      <c r="M47" s="335"/>
      <c r="N47" s="335"/>
      <c r="O47" s="335"/>
      <c r="P47" s="3"/>
      <c r="W47" s="79"/>
    </row>
    <row r="48" spans="1:30" ht="23.45" customHeight="1" x14ac:dyDescent="0.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W48" s="79"/>
    </row>
    <row r="49" spans="1:23" ht="34.5" x14ac:dyDescent="0.7">
      <c r="A49" s="198" t="s">
        <v>109</v>
      </c>
      <c r="B49" s="198"/>
      <c r="C49" s="198"/>
      <c r="D49" s="198"/>
      <c r="E49" s="198"/>
      <c r="F49" s="198"/>
      <c r="G49" s="2"/>
      <c r="H49" s="2"/>
      <c r="I49" s="2"/>
      <c r="J49" s="2"/>
      <c r="K49" s="2"/>
      <c r="L49" s="2"/>
      <c r="M49" s="2"/>
      <c r="N49" s="2"/>
      <c r="O49" s="2"/>
      <c r="P49" s="3"/>
      <c r="W49" s="79"/>
    </row>
    <row r="50" spans="1:23" ht="30" customHeight="1" x14ac:dyDescent="0.7">
      <c r="A50" s="363" t="s">
        <v>110</v>
      </c>
      <c r="B50" s="364"/>
      <c r="C50" s="364"/>
      <c r="D50" s="108" t="s">
        <v>111</v>
      </c>
      <c r="E50" s="106" t="s">
        <v>112</v>
      </c>
      <c r="F50" s="367" t="s">
        <v>113</v>
      </c>
      <c r="G50" s="368"/>
      <c r="H50" s="369"/>
      <c r="I50" s="31" t="b">
        <v>0</v>
      </c>
      <c r="J50" s="19" t="s">
        <v>114</v>
      </c>
      <c r="K50" s="3"/>
      <c r="L50" s="3"/>
      <c r="M50" s="3"/>
      <c r="N50" s="3"/>
      <c r="O50" s="3"/>
      <c r="P50" s="3"/>
      <c r="W50" s="79"/>
    </row>
    <row r="51" spans="1:23" ht="30" customHeight="1" x14ac:dyDescent="0.7">
      <c r="A51" s="374" t="s">
        <v>115</v>
      </c>
      <c r="B51" s="375"/>
      <c r="C51" s="376"/>
      <c r="D51" s="109" t="s">
        <v>10</v>
      </c>
      <c r="E51" s="278"/>
      <c r="F51" s="365" t="str">
        <f>IF($U$36&gt;0,"Below:",IF($U$38=3,"Exceed Plus",IF(AND($U$36=0,$U$38&gt;1),"Exceed:",IF(AND($U$37=2,$U$38=1,$U$36=0),"Meet Plus","Meet"))))</f>
        <v>Meet</v>
      </c>
      <c r="G51" s="370" t="str">
        <f>IF(OR($F$51="Exceed",$F$51="Exceed Plus",$F$51="Meet",$F$51="Meet Plus"),"Can do","Can't do")</f>
        <v>Can do</v>
      </c>
      <c r="H51" s="371"/>
      <c r="I51" s="31" t="b">
        <v>0</v>
      </c>
      <c r="J51" s="19" t="s">
        <v>116</v>
      </c>
      <c r="L51" s="3"/>
      <c r="M51" s="3"/>
      <c r="N51" s="3"/>
      <c r="O51" s="3"/>
      <c r="P51" s="3"/>
      <c r="W51" s="79"/>
    </row>
    <row r="52" spans="1:23" ht="30" customHeight="1" x14ac:dyDescent="0.7">
      <c r="A52" s="353" t="s">
        <v>117</v>
      </c>
      <c r="B52" s="354"/>
      <c r="C52" s="355"/>
      <c r="D52" s="110" t="s">
        <v>118</v>
      </c>
      <c r="E52" s="279"/>
      <c r="F52" s="366"/>
      <c r="G52" s="372" t="str" cm="1">
        <f t="array" ref="G52">_xlfn.IFS($G$51="Can do","ทักษะเหมาะสมกับตำแหน่งงาน",$G$51="Can't do","ทักษะไม่เหมาะสมกับตำแหน่งงาน")</f>
        <v>ทักษะเหมาะสมกับตำแหน่งงาน</v>
      </c>
      <c r="H52" s="373"/>
      <c r="I52" s="31" t="b">
        <v>0</v>
      </c>
      <c r="J52" s="19" t="s">
        <v>119</v>
      </c>
      <c r="K52" s="3"/>
      <c r="L52" s="3"/>
      <c r="M52" s="19" t="s">
        <v>120</v>
      </c>
      <c r="N52" s="19"/>
      <c r="O52" s="2"/>
      <c r="P52" s="3"/>
      <c r="W52" s="79"/>
    </row>
    <row r="53" spans="1:23" ht="30" customHeight="1" x14ac:dyDescent="0.6">
      <c r="A53" s="347" t="s">
        <v>121</v>
      </c>
      <c r="B53" s="348"/>
      <c r="C53" s="349"/>
      <c r="D53" s="111" t="s">
        <v>13</v>
      </c>
      <c r="E53" s="262"/>
      <c r="F53" s="343" t="str" cm="1">
        <f t="array" ref="F53">_xlfn.IFS($T$36=2,"Below",$T$38&gt;1,"Exceed",$T$37&gt;1,"Meet",AND($T$37=1,$T$38=1),"Meet Plus",OR(AND($T$38=1,T37=1),$T$36=1),"Meet Minus")</f>
        <v>Meet Minus</v>
      </c>
      <c r="G53" s="345" t="str">
        <f>IF(OR($F$53="Exceed",$F$53="Exceed Plus",$F$53="Meet Plus",$F$53="Meet"),"Prefer &amp; Can do",IF($F$53="Meet Minus","Maybe can do","Can't do"))</f>
        <v>Maybe can do</v>
      </c>
      <c r="H53" s="346"/>
      <c r="I53" s="107"/>
      <c r="J53" s="3"/>
      <c r="K53" s="114"/>
      <c r="L53" s="3"/>
      <c r="M53" s="97"/>
      <c r="N53" s="97"/>
      <c r="O53" s="3"/>
      <c r="P53" s="3"/>
      <c r="W53" s="79"/>
    </row>
    <row r="54" spans="1:23" ht="30" customHeight="1" x14ac:dyDescent="0.7">
      <c r="A54" s="340" t="s">
        <v>122</v>
      </c>
      <c r="B54" s="341"/>
      <c r="C54" s="342"/>
      <c r="D54" s="112" t="s">
        <v>123</v>
      </c>
      <c r="E54" s="263"/>
      <c r="F54" s="344"/>
      <c r="G54" s="322" t="str" cm="1">
        <f t="array" ref="G54">_xlfn.IFS($G$53="Prefer &amp; Can do","มีทักษะและแรงจูงใจที่เหมาะสมกับงาน",$G$53="Maybe can do","ทักษะต้องพัฒนาให้เหมาะสมกับบทบาทของงาน")</f>
        <v>ทักษะต้องพัฒนาให้เหมาะสมกับบทบาทของงาน</v>
      </c>
      <c r="H54" s="323"/>
      <c r="I54" s="107"/>
      <c r="J54" s="3"/>
      <c r="K54" s="3"/>
      <c r="L54" s="3"/>
      <c r="M54" s="19" t="s">
        <v>124</v>
      </c>
      <c r="N54" s="2"/>
      <c r="P54" s="3"/>
      <c r="W54" s="79"/>
    </row>
    <row r="55" spans="1:23" ht="26.45" customHeight="1" x14ac:dyDescent="0.6">
      <c r="A55" s="350" t="s">
        <v>125</v>
      </c>
      <c r="B55" s="351"/>
      <c r="C55" s="352"/>
      <c r="D55" s="113" t="s">
        <v>16</v>
      </c>
      <c r="E55" s="262"/>
      <c r="F55" s="343" t="str" cm="1">
        <f t="array" ref="F55">_xlfn.IFS($V$36=2,"Below",$V$38&gt;1,"Exceed",$V$37&gt;1,"Meet",AND($V$37=1,$V$38=1),"Meet Plus",OR(AND($V$38=1,V39=1),$V$36=1),"Meet Minus")</f>
        <v>Meet Plus</v>
      </c>
      <c r="G55" s="345" t="str">
        <f>IF(OR($F$55="Exceed",$F$55="Exceed Plus"),"Best fit",IF(OR($F$55="Meet Plus",$F$55="Meet"),"Fit",IF($F$55="Meet Minus","Maybe fit","Not fit in culture")))</f>
        <v>Fit</v>
      </c>
      <c r="H55" s="346"/>
      <c r="I55" s="3"/>
      <c r="J55" s="3"/>
      <c r="K55" s="115"/>
      <c r="L55" s="3"/>
      <c r="M55" s="97"/>
      <c r="N55" s="97"/>
      <c r="O55" s="3"/>
      <c r="P55" s="3"/>
      <c r="W55" s="79"/>
    </row>
    <row r="56" spans="1:23" ht="28.9" customHeight="1" x14ac:dyDescent="0.6">
      <c r="A56" s="356" t="s">
        <v>126</v>
      </c>
      <c r="B56" s="357"/>
      <c r="C56" s="358"/>
      <c r="D56" s="112" t="s">
        <v>127</v>
      </c>
      <c r="E56" s="263"/>
      <c r="F56" s="344"/>
      <c r="G56" s="322" t="str" cm="1">
        <f t="array" ref="G56">_xlfn.IFS($G$55="Best fit","เหมาะสมกับวัฒนธรรมการทำงานของทีมและองค์กรสูง",$G$55="fit","เหมาะสมกับวัฒนธรรมและการทำงานของทีม",$G$55="Not fit","ไม่เหมาะสมกับวัฒนธรรมของทีมและองค์กร")</f>
        <v>เหมาะสมกับวัฒนธรรมและการทำงานของทีม</v>
      </c>
      <c r="H56" s="323"/>
      <c r="I56" s="3"/>
      <c r="J56" s="3"/>
      <c r="K56" s="3"/>
      <c r="L56" s="3"/>
      <c r="M56" s="3"/>
      <c r="N56" s="3"/>
      <c r="O56" s="2"/>
      <c r="P56" s="3"/>
      <c r="W56" s="79"/>
    </row>
    <row r="57" spans="1:23" ht="23.45" customHeight="1" x14ac:dyDescent="0.65">
      <c r="A57" s="54"/>
      <c r="B57" s="54"/>
      <c r="C57" s="54"/>
      <c r="D57" s="54"/>
      <c r="E57" s="54"/>
      <c r="F57" s="54"/>
      <c r="G57" s="2"/>
      <c r="H57" s="20"/>
      <c r="I57" s="3"/>
      <c r="J57" s="3"/>
      <c r="K57" s="99" t="s">
        <v>128</v>
      </c>
      <c r="L57" s="62"/>
      <c r="M57" s="62"/>
      <c r="N57" s="62"/>
      <c r="O57" s="2"/>
      <c r="P57" s="3"/>
      <c r="W57" s="79"/>
    </row>
    <row r="58" spans="1:23" ht="26.45" customHeight="1" x14ac:dyDescent="0.65">
      <c r="A58" s="54"/>
      <c r="B58" s="54"/>
      <c r="C58" s="54"/>
      <c r="D58" s="54"/>
      <c r="E58" s="54"/>
      <c r="F58" s="54"/>
      <c r="G58" s="2"/>
      <c r="I58" s="3"/>
      <c r="J58" s="3"/>
      <c r="K58" s="99"/>
      <c r="L58" s="2"/>
      <c r="M58" s="2"/>
      <c r="N58" s="2"/>
      <c r="O58" s="2"/>
      <c r="P58" s="3"/>
      <c r="W58" s="79"/>
    </row>
    <row r="59" spans="1:23" ht="23.45" customHeight="1" x14ac:dyDescent="0.65">
      <c r="A59" s="54"/>
      <c r="B59" s="54"/>
      <c r="C59" s="54"/>
      <c r="D59" s="54"/>
      <c r="E59" s="54"/>
      <c r="F59" s="54"/>
      <c r="G59" s="2"/>
      <c r="H59" s="2"/>
      <c r="I59" s="2"/>
      <c r="J59" s="2"/>
      <c r="K59" s="99" t="s">
        <v>129</v>
      </c>
      <c r="L59" s="98"/>
      <c r="M59" s="98"/>
      <c r="N59" s="98"/>
      <c r="O59" s="2"/>
      <c r="P59" s="3"/>
      <c r="W59" s="79"/>
    </row>
    <row r="60" spans="1:23" ht="34.5" x14ac:dyDescent="0.7">
      <c r="A60" s="252" t="s">
        <v>130</v>
      </c>
      <c r="B60" s="252"/>
      <c r="C60" s="252"/>
      <c r="D60" s="252"/>
      <c r="E60" s="252"/>
      <c r="F60" s="252"/>
      <c r="G60" s="2"/>
      <c r="H60" s="2"/>
      <c r="I60" s="2"/>
      <c r="J60" s="2"/>
      <c r="K60" s="2"/>
      <c r="L60" s="2"/>
      <c r="M60" s="2"/>
      <c r="N60" s="2"/>
      <c r="O60" s="2"/>
      <c r="P60" s="3"/>
      <c r="W60" s="79"/>
    </row>
    <row r="61" spans="1:23" ht="23.45" customHeight="1" x14ac:dyDescent="0.25">
      <c r="A61" s="335"/>
      <c r="B61" s="335"/>
      <c r="C61" s="335"/>
      <c r="D61" s="335"/>
      <c r="E61" s="335"/>
      <c r="F61" s="335"/>
      <c r="G61" s="335"/>
      <c r="H61" s="335"/>
      <c r="I61" s="335"/>
      <c r="J61" s="335"/>
      <c r="K61" s="335"/>
      <c r="L61" s="335"/>
      <c r="M61" s="335"/>
      <c r="N61" s="335"/>
      <c r="O61" s="335"/>
      <c r="P61" s="3"/>
      <c r="W61" s="79"/>
    </row>
    <row r="62" spans="1:23" ht="23.45" customHeight="1" x14ac:dyDescent="0.25">
      <c r="A62" s="335"/>
      <c r="B62" s="335"/>
      <c r="C62" s="335"/>
      <c r="D62" s="335"/>
      <c r="E62" s="335"/>
      <c r="F62" s="335"/>
      <c r="G62" s="335"/>
      <c r="H62" s="335"/>
      <c r="I62" s="335"/>
      <c r="J62" s="335"/>
      <c r="K62" s="335"/>
      <c r="L62" s="335"/>
      <c r="M62" s="335"/>
      <c r="N62" s="335"/>
      <c r="O62" s="335"/>
      <c r="P62" s="3"/>
      <c r="W62" s="79"/>
    </row>
    <row r="63" spans="1:23" ht="23.45" customHeight="1" x14ac:dyDescent="0.25">
      <c r="A63" s="335"/>
      <c r="B63" s="335"/>
      <c r="C63" s="335"/>
      <c r="D63" s="335"/>
      <c r="E63" s="335"/>
      <c r="F63" s="335"/>
      <c r="G63" s="335"/>
      <c r="H63" s="335"/>
      <c r="I63" s="335"/>
      <c r="J63" s="335"/>
      <c r="K63" s="335"/>
      <c r="L63" s="335"/>
      <c r="M63" s="335"/>
      <c r="N63" s="335"/>
      <c r="O63" s="335"/>
      <c r="P63" s="3"/>
      <c r="W63" s="79"/>
    </row>
    <row r="64" spans="1:23" ht="23.45" customHeight="1" x14ac:dyDescent="0.25">
      <c r="A64" s="335"/>
      <c r="B64" s="335"/>
      <c r="C64" s="335"/>
      <c r="D64" s="335"/>
      <c r="E64" s="335"/>
      <c r="F64" s="335"/>
      <c r="G64" s="335"/>
      <c r="H64" s="335"/>
      <c r="I64" s="335"/>
      <c r="J64" s="335"/>
      <c r="K64" s="335"/>
      <c r="L64" s="335"/>
      <c r="M64" s="335"/>
      <c r="N64" s="335"/>
      <c r="O64" s="335"/>
      <c r="P64" s="3"/>
    </row>
    <row r="65" spans="1:34" ht="23.45" customHeight="1" x14ac:dyDescent="0.25">
      <c r="A65" s="335"/>
      <c r="B65" s="335"/>
      <c r="C65" s="335"/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"/>
    </row>
    <row r="66" spans="1:34" ht="23.25" x14ac:dyDescent="0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3"/>
    </row>
    <row r="67" spans="1:34" ht="23.25" x14ac:dyDescent="0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3"/>
    </row>
    <row r="68" spans="1:34" ht="23.25" x14ac:dyDescent="0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3"/>
    </row>
    <row r="69" spans="1:34" ht="23.25" x14ac:dyDescent="0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3"/>
    </row>
    <row r="70" spans="1:34" ht="23.25" x14ac:dyDescent="0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3"/>
    </row>
    <row r="71" spans="1:34" ht="23.25" x14ac:dyDescent="0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</row>
    <row r="72" spans="1:34" ht="23.25" x14ac:dyDescent="0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3"/>
    </row>
    <row r="73" spans="1:34" ht="23.25" x14ac:dyDescent="0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</row>
    <row r="74" spans="1:34" ht="23.25" x14ac:dyDescent="0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</row>
    <row r="75" spans="1:34" ht="23.25" x14ac:dyDescent="0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3"/>
    </row>
    <row r="76" spans="1:34" ht="23.25" x14ac:dyDescent="0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"/>
    </row>
    <row r="77" spans="1:34" ht="23.25" x14ac:dyDescent="0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3"/>
      <c r="AF77" s="63" t="s">
        <v>10</v>
      </c>
      <c r="AG77" s="63" t="s">
        <v>19</v>
      </c>
      <c r="AH77" s="63" t="s">
        <v>131</v>
      </c>
    </row>
    <row r="78" spans="1:34" ht="40.15" customHeight="1" x14ac:dyDescent="0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3"/>
      <c r="AF78" s="67" t="str">
        <f>'Evaluate Interview form'!$T$5</f>
        <v>การคิดวิเคราะห์ &amp; การตัดสินใจ 
(Analytical Thinking &amp; Decision Making)</v>
      </c>
      <c r="AG78" s="72">
        <v>1</v>
      </c>
      <c r="AH78" s="51" t="s">
        <v>132</v>
      </c>
    </row>
    <row r="79" spans="1:34" ht="40.15" customHeight="1" x14ac:dyDescent="0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AF79" s="64"/>
      <c r="AG79" s="73">
        <v>2</v>
      </c>
      <c r="AH79" s="47" t="s">
        <v>133</v>
      </c>
    </row>
    <row r="80" spans="1:34" ht="40.15" customHeight="1" x14ac:dyDescent="0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3"/>
      <c r="AF80" s="68"/>
      <c r="AG80" s="73">
        <v>3</v>
      </c>
      <c r="AH80" s="47" t="s">
        <v>134</v>
      </c>
    </row>
    <row r="81" spans="1:35" ht="40.15" customHeight="1" x14ac:dyDescent="0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3"/>
      <c r="AF81" s="68"/>
      <c r="AG81" s="73">
        <v>4</v>
      </c>
      <c r="AH81" s="47" t="s">
        <v>135</v>
      </c>
    </row>
    <row r="82" spans="1:35" ht="40.15" customHeight="1" x14ac:dyDescent="0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3"/>
      <c r="AF82" s="68"/>
      <c r="AG82" s="73">
        <v>5</v>
      </c>
      <c r="AH82" s="47" t="s">
        <v>136</v>
      </c>
    </row>
    <row r="83" spans="1:35" ht="40.15" customHeight="1" x14ac:dyDescent="0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3"/>
      <c r="AF83" s="68"/>
      <c r="AG83" s="73"/>
      <c r="AH83" s="47"/>
    </row>
    <row r="84" spans="1:35" ht="23.25" x14ac:dyDescent="0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3"/>
      <c r="AF84" s="69" t="str">
        <f>'Evaluate Interview form'!$W$6</f>
        <v>การแก้ไขปัญหา 
(Problem Solving)</v>
      </c>
      <c r="AG84" s="73">
        <v>1</v>
      </c>
      <c r="AH84" s="47" t="s">
        <v>137</v>
      </c>
      <c r="AI84" s="41"/>
    </row>
    <row r="85" spans="1:35" ht="23.25" x14ac:dyDescent="0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3"/>
      <c r="AF85" s="64"/>
      <c r="AG85" s="73">
        <v>2</v>
      </c>
      <c r="AH85" s="47" t="s">
        <v>138</v>
      </c>
      <c r="AI85" s="41"/>
    </row>
    <row r="86" spans="1:35" ht="23.25" x14ac:dyDescent="0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3"/>
      <c r="AF86" s="64"/>
      <c r="AG86" s="73">
        <v>3</v>
      </c>
      <c r="AH86" s="47" t="s">
        <v>139</v>
      </c>
      <c r="AI86" s="41"/>
    </row>
    <row r="87" spans="1:35" ht="23.25" x14ac:dyDescent="0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3"/>
      <c r="AF87" s="64"/>
      <c r="AG87" s="73">
        <v>4</v>
      </c>
      <c r="AH87" s="47" t="s">
        <v>140</v>
      </c>
    </row>
    <row r="88" spans="1:35" ht="23.25" x14ac:dyDescent="0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3"/>
      <c r="AF88" s="64"/>
      <c r="AG88" s="73">
        <v>5</v>
      </c>
      <c r="AH88" s="47" t="s">
        <v>141</v>
      </c>
    </row>
    <row r="89" spans="1:35" ht="23.25" x14ac:dyDescent="0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3"/>
      <c r="AF89" s="50"/>
      <c r="AG89" s="73"/>
      <c r="AH89" s="47"/>
    </row>
    <row r="90" spans="1:35" ht="23.25" x14ac:dyDescent="0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  <c r="AF90" s="70" t="s">
        <v>142</v>
      </c>
      <c r="AG90" s="73">
        <v>1</v>
      </c>
      <c r="AH90" s="47" t="s">
        <v>143</v>
      </c>
    </row>
    <row r="91" spans="1:35" ht="23.25" x14ac:dyDescent="0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AF91" s="64"/>
      <c r="AG91" s="73">
        <v>2</v>
      </c>
      <c r="AH91" s="47" t="s">
        <v>144</v>
      </c>
    </row>
    <row r="92" spans="1:35" ht="23.25" x14ac:dyDescent="0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AF92" s="64"/>
      <c r="AG92" s="73">
        <v>3</v>
      </c>
      <c r="AH92" s="47" t="s">
        <v>145</v>
      </c>
    </row>
    <row r="93" spans="1:35" ht="23.25" x14ac:dyDescent="0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3"/>
      <c r="AF93" s="64"/>
      <c r="AG93" s="73">
        <v>4</v>
      </c>
      <c r="AH93" s="47" t="s">
        <v>146</v>
      </c>
    </row>
    <row r="94" spans="1:35" ht="23.25" x14ac:dyDescent="0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AF94" s="64"/>
      <c r="AG94" s="73">
        <v>5</v>
      </c>
      <c r="AH94" s="47" t="s">
        <v>147</v>
      </c>
    </row>
    <row r="95" spans="1:35" ht="23.25" x14ac:dyDescent="0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3"/>
      <c r="AF95" s="50"/>
      <c r="AG95" s="73"/>
      <c r="AH95" s="47"/>
    </row>
    <row r="96" spans="1:35" ht="23.25" x14ac:dyDescent="0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3"/>
      <c r="AF96" s="69" t="str">
        <f>'Evaluate Interview form'!$W$9</f>
        <v>การวางแผนและการจัดระเบียบ 
(Planning &amp; Organizing)</v>
      </c>
      <c r="AG96" s="73">
        <v>1</v>
      </c>
      <c r="AH96" s="47" t="s">
        <v>148</v>
      </c>
    </row>
    <row r="97" spans="1:34" ht="23.25" x14ac:dyDescent="0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3"/>
      <c r="AF97" s="64"/>
      <c r="AG97" s="73">
        <v>2</v>
      </c>
      <c r="AH97" s="96" t="s">
        <v>149</v>
      </c>
    </row>
    <row r="98" spans="1:34" ht="23.25" x14ac:dyDescent="0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3"/>
      <c r="AF98" s="64"/>
      <c r="AG98" s="73">
        <v>3</v>
      </c>
      <c r="AH98" s="48" t="s">
        <v>150</v>
      </c>
    </row>
    <row r="99" spans="1:34" ht="23.25" x14ac:dyDescent="0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3"/>
      <c r="AF99" s="64"/>
      <c r="AG99" s="73">
        <v>4</v>
      </c>
      <c r="AH99" s="47" t="s">
        <v>151</v>
      </c>
    </row>
    <row r="100" spans="1:34" ht="23.25" x14ac:dyDescent="0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3"/>
      <c r="AF100" s="64"/>
      <c r="AG100" s="73">
        <v>5</v>
      </c>
      <c r="AH100" s="47" t="s">
        <v>152</v>
      </c>
    </row>
    <row r="101" spans="1:34" ht="23.25" x14ac:dyDescent="0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"/>
      <c r="AF101" s="50"/>
      <c r="AG101" s="73"/>
      <c r="AH101" s="47"/>
    </row>
    <row r="102" spans="1:34" ht="23.25" x14ac:dyDescent="0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"/>
      <c r="AF102" s="69" t="str">
        <f>'Evaluate Interview form'!$W$11</f>
        <v>ทักษะการสื่อสารและเจรจา 
(Communication &amp; Negotiation)</v>
      </c>
      <c r="AG102" s="73">
        <v>1</v>
      </c>
      <c r="AH102" s="47" t="s">
        <v>153</v>
      </c>
    </row>
    <row r="103" spans="1:34" ht="23.2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"/>
      <c r="AF103" s="64"/>
      <c r="AG103" s="73">
        <v>2</v>
      </c>
      <c r="AH103" s="47" t="s">
        <v>154</v>
      </c>
    </row>
    <row r="104" spans="1:34" ht="23.2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"/>
      <c r="AF104" s="64"/>
      <c r="AG104" s="73">
        <v>3</v>
      </c>
      <c r="AH104" s="47" t="s">
        <v>155</v>
      </c>
    </row>
    <row r="105" spans="1:34" ht="23.2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"/>
      <c r="AF105" s="64"/>
      <c r="AG105" s="73">
        <v>4</v>
      </c>
      <c r="AH105" s="47" t="s">
        <v>156</v>
      </c>
    </row>
    <row r="106" spans="1:34" ht="23.25" x14ac:dyDescent="0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/>
      <c r="AF106" s="64"/>
      <c r="AG106" s="73">
        <v>5</v>
      </c>
      <c r="AH106" s="47" t="s">
        <v>157</v>
      </c>
    </row>
    <row r="107" spans="1:34" ht="23.25" x14ac:dyDescent="0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"/>
      <c r="AF107" s="50"/>
      <c r="AG107" s="73"/>
      <c r="AH107" s="47"/>
    </row>
    <row r="108" spans="1:34" ht="23.25" x14ac:dyDescent="0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"/>
      <c r="AF108" s="69" t="str">
        <f>'Evaluate Interview form'!$W$14</f>
        <v>ความกระตือรือร้น &amp; ทัศนคติเชิงบวก
 (Proactive &amp; Growth Mindset)</v>
      </c>
      <c r="AG108" s="74">
        <v>1</v>
      </c>
      <c r="AH108" s="50" t="s">
        <v>158</v>
      </c>
    </row>
    <row r="109" spans="1:34" ht="23.25" x14ac:dyDescent="0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"/>
      <c r="AF109" s="64"/>
      <c r="AG109" s="73">
        <v>2</v>
      </c>
      <c r="AH109" s="47" t="s">
        <v>159</v>
      </c>
    </row>
    <row r="110" spans="1:34" ht="23.25" x14ac:dyDescent="0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"/>
      <c r="AF110" s="68"/>
      <c r="AG110" s="73">
        <v>3</v>
      </c>
      <c r="AH110" s="47" t="s">
        <v>160</v>
      </c>
    </row>
    <row r="111" spans="1:34" ht="23.25" x14ac:dyDescent="0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"/>
      <c r="AF111" s="68"/>
      <c r="AG111" s="73">
        <v>4</v>
      </c>
      <c r="AH111" s="47" t="s">
        <v>161</v>
      </c>
    </row>
    <row r="112" spans="1:34" ht="23.25" x14ac:dyDescent="0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"/>
      <c r="AF112" s="68"/>
      <c r="AG112" s="73">
        <v>5</v>
      </c>
      <c r="AH112" s="47" t="s">
        <v>162</v>
      </c>
    </row>
    <row r="113" spans="1:34" ht="23.25" x14ac:dyDescent="0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"/>
      <c r="AF113" s="50"/>
      <c r="AG113" s="73"/>
      <c r="AH113" s="47"/>
    </row>
    <row r="114" spans="1:34" ht="23.25" x14ac:dyDescent="0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"/>
      <c r="AF114" s="69" t="str">
        <f>'Evaluate Interview form'!$Z$6</f>
        <v>การปรับตัว &amp; การทำงานร่วมกันเป็นทีม
(Adaptability &amp; Teamwork)</v>
      </c>
      <c r="AG114" s="73">
        <v>1</v>
      </c>
      <c r="AH114" s="47" t="s">
        <v>163</v>
      </c>
    </row>
    <row r="115" spans="1:34" ht="23.25" x14ac:dyDescent="0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"/>
      <c r="AF115" s="64"/>
      <c r="AG115" s="73">
        <v>2</v>
      </c>
      <c r="AH115" s="47" t="s">
        <v>164</v>
      </c>
    </row>
    <row r="116" spans="1:34" ht="23.25" x14ac:dyDescent="0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"/>
      <c r="AF116" s="68"/>
      <c r="AG116" s="73">
        <v>3</v>
      </c>
      <c r="AH116" s="47" t="s">
        <v>165</v>
      </c>
    </row>
    <row r="117" spans="1:34" ht="23.25" x14ac:dyDescent="0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"/>
      <c r="AF117" s="68"/>
      <c r="AG117" s="73">
        <v>4</v>
      </c>
      <c r="AH117" s="47" t="s">
        <v>166</v>
      </c>
    </row>
    <row r="118" spans="1:34" ht="23.25" x14ac:dyDescent="0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"/>
      <c r="AF118" s="68"/>
      <c r="AG118" s="73">
        <v>5</v>
      </c>
      <c r="AH118" s="47" t="s">
        <v>167</v>
      </c>
    </row>
    <row r="119" spans="1:34" ht="23.25" x14ac:dyDescent="0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"/>
      <c r="AF119" s="68"/>
      <c r="AG119" s="73"/>
      <c r="AH119" s="47"/>
    </row>
    <row r="120" spans="1:34" ht="23.25" x14ac:dyDescent="0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"/>
      <c r="AF120" s="69" t="str">
        <f>'Evaluate Interview form'!$W$8</f>
        <v>ความคล่องตัวในการเรียนรู้ 
(Learning Agility)</v>
      </c>
      <c r="AG120" s="73">
        <v>1</v>
      </c>
      <c r="AH120" s="47" t="s">
        <v>168</v>
      </c>
    </row>
    <row r="121" spans="1:34" ht="23.25" x14ac:dyDescent="0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"/>
      <c r="AF121" s="64"/>
      <c r="AG121" s="73">
        <v>2</v>
      </c>
      <c r="AH121" s="47" t="s">
        <v>169</v>
      </c>
    </row>
    <row r="122" spans="1:34" ht="23.25" x14ac:dyDescent="0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"/>
      <c r="AF122" s="64"/>
      <c r="AG122" s="73">
        <v>3</v>
      </c>
      <c r="AH122" s="47" t="s">
        <v>170</v>
      </c>
    </row>
    <row r="123" spans="1:34" ht="23.25" x14ac:dyDescent="0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"/>
      <c r="AF123" s="64"/>
      <c r="AG123" s="73">
        <v>4</v>
      </c>
      <c r="AH123" s="47" t="s">
        <v>171</v>
      </c>
    </row>
    <row r="124" spans="1:34" ht="23.25" x14ac:dyDescent="0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"/>
      <c r="AF124" s="64"/>
      <c r="AG124" s="73">
        <v>5</v>
      </c>
      <c r="AH124" s="47" t="s">
        <v>172</v>
      </c>
    </row>
    <row r="125" spans="1:34" ht="23.25" x14ac:dyDescent="0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"/>
      <c r="AF125" s="68"/>
      <c r="AG125" s="73"/>
      <c r="AH125" s="47"/>
    </row>
    <row r="126" spans="1:34" ht="23.25" x14ac:dyDescent="0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"/>
      <c r="AF126" s="69" t="str">
        <f>'Evaluate Interview form'!$W$15</f>
        <v>พัฒนาทักษะตัวเองอยู่เสมอ 
(Self-Development)</v>
      </c>
      <c r="AG126" s="73">
        <v>1</v>
      </c>
      <c r="AH126" s="47" t="s">
        <v>173</v>
      </c>
    </row>
    <row r="127" spans="1:34" ht="23.25" x14ac:dyDescent="0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"/>
      <c r="AF127" s="64"/>
      <c r="AG127" s="73">
        <v>2</v>
      </c>
      <c r="AH127" s="47" t="s">
        <v>174</v>
      </c>
    </row>
    <row r="128" spans="1:34" ht="23.25" x14ac:dyDescent="0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"/>
      <c r="AF128" s="68"/>
      <c r="AG128" s="73">
        <v>3</v>
      </c>
      <c r="AH128" s="47" t="s">
        <v>175</v>
      </c>
    </row>
    <row r="129" spans="1:34" ht="23.25" x14ac:dyDescent="0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"/>
      <c r="AF129" s="68"/>
      <c r="AG129" s="73">
        <v>4</v>
      </c>
      <c r="AH129" s="47" t="s">
        <v>176</v>
      </c>
    </row>
    <row r="130" spans="1:34" ht="23.25" x14ac:dyDescent="0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AF130" s="68"/>
      <c r="AG130" s="73">
        <v>5</v>
      </c>
      <c r="AH130" s="47" t="s">
        <v>177</v>
      </c>
    </row>
    <row r="131" spans="1:34" ht="23.25" x14ac:dyDescent="0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"/>
      <c r="AF131" s="68"/>
      <c r="AG131" s="73"/>
      <c r="AH131" s="47"/>
    </row>
    <row r="132" spans="1:34" ht="23.25" x14ac:dyDescent="0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/>
      <c r="AF132" s="69" t="str">
        <f>'Evaluate Interview form'!$W$16</f>
        <v>เข้าใจและตอบสนองความต้องการ &amp; ใจรักการบริการ
 (Customer Focus &amp; Service Mindset)</v>
      </c>
      <c r="AG132" s="73">
        <v>1</v>
      </c>
      <c r="AH132" s="47" t="s">
        <v>178</v>
      </c>
    </row>
    <row r="133" spans="1:34" ht="23.25" x14ac:dyDescent="0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"/>
      <c r="AF133" s="64"/>
      <c r="AG133" s="73">
        <v>2</v>
      </c>
      <c r="AH133" s="47" t="s">
        <v>179</v>
      </c>
    </row>
    <row r="134" spans="1:34" ht="23.25" x14ac:dyDescent="0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"/>
      <c r="AF134" s="68"/>
      <c r="AG134" s="73">
        <v>3</v>
      </c>
      <c r="AH134" s="47" t="s">
        <v>180</v>
      </c>
    </row>
    <row r="135" spans="1:34" ht="23.25" x14ac:dyDescent="0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AF135" s="68"/>
      <c r="AG135" s="73">
        <v>4</v>
      </c>
      <c r="AH135" s="47" t="s">
        <v>181</v>
      </c>
    </row>
    <row r="136" spans="1:34" ht="23.25" x14ac:dyDescent="0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AF136" s="68"/>
      <c r="AG136" s="73">
        <v>5</v>
      </c>
      <c r="AH136" s="47" t="s">
        <v>182</v>
      </c>
    </row>
    <row r="137" spans="1:34" ht="23.25" x14ac:dyDescent="0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"/>
      <c r="AF137" s="68"/>
      <c r="AG137" s="73"/>
      <c r="AH137" s="47"/>
    </row>
    <row r="138" spans="1:34" ht="23.25" x14ac:dyDescent="0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"/>
      <c r="AF138" s="69" t="str">
        <f>'Evaluate Interview form'!$W$13</f>
        <v>รับผิดชอบงานของตนเอง 
(Accountability / Ownership)</v>
      </c>
      <c r="AG138" s="73">
        <v>1</v>
      </c>
      <c r="AH138" s="49" t="s">
        <v>183</v>
      </c>
    </row>
    <row r="139" spans="1:34" ht="23.25" x14ac:dyDescent="0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AF139" s="64"/>
      <c r="AG139" s="73">
        <v>2</v>
      </c>
      <c r="AH139" s="49" t="s">
        <v>184</v>
      </c>
    </row>
    <row r="140" spans="1:34" ht="23.25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/>
      <c r="AF140" s="68"/>
      <c r="AG140" s="73">
        <v>3</v>
      </c>
      <c r="AH140" s="49" t="s">
        <v>185</v>
      </c>
    </row>
    <row r="141" spans="1:34" ht="23.25" x14ac:dyDescent="0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AF141" s="68"/>
      <c r="AG141" s="73">
        <v>4</v>
      </c>
      <c r="AH141" s="49" t="s">
        <v>186</v>
      </c>
    </row>
    <row r="142" spans="1:34" ht="23.25" x14ac:dyDescent="0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AF142" s="68"/>
      <c r="AG142" s="73">
        <v>5</v>
      </c>
      <c r="AH142" s="49" t="s">
        <v>187</v>
      </c>
    </row>
    <row r="143" spans="1:34" ht="23.25" x14ac:dyDescent="0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"/>
      <c r="AF143" s="68"/>
      <c r="AG143" s="73"/>
      <c r="AH143" s="47"/>
    </row>
    <row r="144" spans="1:34" ht="23.25" x14ac:dyDescent="0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AF144" s="69" t="str">
        <f>'Evaluate Interview form'!$Z$9</f>
        <v>มีความซื่อสัตย์ในการทำงาน 
(Work Ethic)</v>
      </c>
      <c r="AG144" s="73">
        <v>1</v>
      </c>
      <c r="AH144" s="47" t="s">
        <v>188</v>
      </c>
    </row>
    <row r="145" spans="1:34" ht="23.25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AF145" s="64"/>
      <c r="AG145" s="73">
        <v>2</v>
      </c>
      <c r="AH145" s="47" t="s">
        <v>189</v>
      </c>
    </row>
    <row r="146" spans="1:34" ht="23.25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  <c r="AF146" s="68"/>
      <c r="AG146" s="73">
        <v>3</v>
      </c>
      <c r="AH146" s="47" t="s">
        <v>190</v>
      </c>
    </row>
    <row r="147" spans="1:34" ht="23.25" x14ac:dyDescent="0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"/>
      <c r="AF147" s="68"/>
      <c r="AG147" s="73">
        <v>4</v>
      </c>
      <c r="AH147" s="47" t="s">
        <v>191</v>
      </c>
    </row>
    <row r="148" spans="1:34" ht="23.25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  <c r="AF148" s="71"/>
      <c r="AG148" s="65">
        <v>5</v>
      </c>
      <c r="AH148" s="47" t="s">
        <v>192</v>
      </c>
    </row>
    <row r="149" spans="1:34" ht="23.25" x14ac:dyDescent="0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/>
    </row>
    <row r="150" spans="1:34" ht="2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3"/>
    </row>
    <row r="151" spans="1:34" ht="2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34" ht="2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34" ht="2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34" ht="2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34" ht="2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</sheetData>
  <mergeCells count="139">
    <mergeCell ref="J16:J19"/>
    <mergeCell ref="C30:F31"/>
    <mergeCell ref="G28:H31"/>
    <mergeCell ref="A50:C50"/>
    <mergeCell ref="F51:F52"/>
    <mergeCell ref="F53:F54"/>
    <mergeCell ref="A36:O36"/>
    <mergeCell ref="F50:H50"/>
    <mergeCell ref="G51:H51"/>
    <mergeCell ref="G52:H52"/>
    <mergeCell ref="G53:H53"/>
    <mergeCell ref="G54:H54"/>
    <mergeCell ref="L17:L19"/>
    <mergeCell ref="M17:O19"/>
    <mergeCell ref="M24:O24"/>
    <mergeCell ref="M28:O28"/>
    <mergeCell ref="M21:O23"/>
    <mergeCell ref="M25:O27"/>
    <mergeCell ref="C17:F17"/>
    <mergeCell ref="C29:F29"/>
    <mergeCell ref="C33:F33"/>
    <mergeCell ref="M29:O31"/>
    <mergeCell ref="A8:A19"/>
    <mergeCell ref="A51:C51"/>
    <mergeCell ref="G20:H23"/>
    <mergeCell ref="J20:J23"/>
    <mergeCell ref="G24:H27"/>
    <mergeCell ref="J24:J27"/>
    <mergeCell ref="L21:L23"/>
    <mergeCell ref="L25:L27"/>
    <mergeCell ref="L29:L31"/>
    <mergeCell ref="L33:L35"/>
    <mergeCell ref="I32:I35"/>
    <mergeCell ref="I28:I31"/>
    <mergeCell ref="A61:O65"/>
    <mergeCell ref="J38:O39"/>
    <mergeCell ref="A60:F60"/>
    <mergeCell ref="A49:F49"/>
    <mergeCell ref="A38:G39"/>
    <mergeCell ref="A43:O47"/>
    <mergeCell ref="A42:F42"/>
    <mergeCell ref="A54:C54"/>
    <mergeCell ref="J32:J35"/>
    <mergeCell ref="F55:F56"/>
    <mergeCell ref="G55:H55"/>
    <mergeCell ref="G56:H56"/>
    <mergeCell ref="A53:C53"/>
    <mergeCell ref="E51:E52"/>
    <mergeCell ref="E53:E54"/>
    <mergeCell ref="E55:E56"/>
    <mergeCell ref="A55:C55"/>
    <mergeCell ref="A52:C52"/>
    <mergeCell ref="A56:C56"/>
    <mergeCell ref="A1:O1"/>
    <mergeCell ref="L6:O6"/>
    <mergeCell ref="L7:O7"/>
    <mergeCell ref="A5:O5"/>
    <mergeCell ref="L2:M2"/>
    <mergeCell ref="N4:O4"/>
    <mergeCell ref="I2:K2"/>
    <mergeCell ref="B3:F3"/>
    <mergeCell ref="G4:H4"/>
    <mergeCell ref="I4:K4"/>
    <mergeCell ref="L3:M3"/>
    <mergeCell ref="N3:O3"/>
    <mergeCell ref="I3:K3"/>
    <mergeCell ref="B2:F2"/>
    <mergeCell ref="B4:F4"/>
    <mergeCell ref="B6:F7"/>
    <mergeCell ref="A20:A27"/>
    <mergeCell ref="C12:F12"/>
    <mergeCell ref="C16:F16"/>
    <mergeCell ref="C8:F8"/>
    <mergeCell ref="A28:A35"/>
    <mergeCell ref="C34:F35"/>
    <mergeCell ref="B8:B11"/>
    <mergeCell ref="B12:B15"/>
    <mergeCell ref="B16:B19"/>
    <mergeCell ref="B20:B23"/>
    <mergeCell ref="B24:B27"/>
    <mergeCell ref="B28:B31"/>
    <mergeCell ref="B32:B35"/>
    <mergeCell ref="C28:F28"/>
    <mergeCell ref="C32:F32"/>
    <mergeCell ref="C13:F13"/>
    <mergeCell ref="C14:F15"/>
    <mergeCell ref="C18:F19"/>
    <mergeCell ref="C21:F21"/>
    <mergeCell ref="C22:F23"/>
    <mergeCell ref="C26:F27"/>
    <mergeCell ref="C24:F24"/>
    <mergeCell ref="AD26:AD33"/>
    <mergeCell ref="AC29:AC33"/>
    <mergeCell ref="I12:I15"/>
    <mergeCell ref="I16:I19"/>
    <mergeCell ref="I20:I23"/>
    <mergeCell ref="I24:I27"/>
    <mergeCell ref="G8:H11"/>
    <mergeCell ref="G16:H19"/>
    <mergeCell ref="C9:F9"/>
    <mergeCell ref="C10:F11"/>
    <mergeCell ref="M8:O8"/>
    <mergeCell ref="M12:O12"/>
    <mergeCell ref="M32:O32"/>
    <mergeCell ref="C20:F20"/>
    <mergeCell ref="J28:J31"/>
    <mergeCell ref="C25:F25"/>
    <mergeCell ref="L9:L11"/>
    <mergeCell ref="M9:O11"/>
    <mergeCell ref="L13:L15"/>
    <mergeCell ref="G12:H15"/>
    <mergeCell ref="J12:J15"/>
    <mergeCell ref="G32:H35"/>
    <mergeCell ref="M33:O35"/>
    <mergeCell ref="M13:O15"/>
    <mergeCell ref="AB36:AB38"/>
    <mergeCell ref="AB39:AB43"/>
    <mergeCell ref="AC36:AC43"/>
    <mergeCell ref="N2:O2"/>
    <mergeCell ref="G2:H2"/>
    <mergeCell ref="G3:H3"/>
    <mergeCell ref="L4:M4"/>
    <mergeCell ref="AA36:AA43"/>
    <mergeCell ref="AA26:AA33"/>
    <mergeCell ref="AB26:AB33"/>
    <mergeCell ref="AC26:AC28"/>
    <mergeCell ref="K20:K23"/>
    <mergeCell ref="K24:K27"/>
    <mergeCell ref="K28:K31"/>
    <mergeCell ref="K32:K35"/>
    <mergeCell ref="G6:H6"/>
    <mergeCell ref="G7:H7"/>
    <mergeCell ref="K8:K11"/>
    <mergeCell ref="K12:K15"/>
    <mergeCell ref="K16:K19"/>
    <mergeCell ref="I8:I11"/>
    <mergeCell ref="J8:J11"/>
    <mergeCell ref="M16:O16"/>
    <mergeCell ref="M20:O20"/>
  </mergeCells>
  <conditionalFormatting sqref="C18">
    <cfRule type="containsText" dxfId="12" priority="7" operator="containsText" text="โปรดเลือกรายการที่ต้องการประเมิน">
      <formula>NOT(ISERROR(SEARCH("โปรดเลือกรายการที่ต้องการประเมิน",C18)))</formula>
    </cfRule>
  </conditionalFormatting>
  <conditionalFormatting sqref="C22">
    <cfRule type="containsText" dxfId="11" priority="6" operator="containsText" text="โปรดเลือกรายการที่ต้องการประเมิน">
      <formula>NOT(ISERROR(SEARCH("โปรดเลือกรายการที่ต้องการประเมิน",C22)))</formula>
    </cfRule>
  </conditionalFormatting>
  <conditionalFormatting sqref="C25:C26">
    <cfRule type="containsText" dxfId="10" priority="5" operator="containsText" text="โปรดเลือกรายการที่ต้องการประเมิน">
      <formula>NOT(ISERROR(SEARCH("โปรดเลือกรายการที่ต้องการประเมิน",C25)))</formula>
    </cfRule>
  </conditionalFormatting>
  <conditionalFormatting sqref="C29:C30">
    <cfRule type="containsText" dxfId="9" priority="4" operator="containsText" text="โปรดเลือกรายการที่ต้องการประเมิน">
      <formula>NOT(ISERROR(SEARCH("โปรดเลือกรายการที่ต้องการประเมิน",C29)))</formula>
    </cfRule>
  </conditionalFormatting>
  <conditionalFormatting sqref="C33:C34">
    <cfRule type="containsText" dxfId="8" priority="3" operator="containsText" text="โปรดเลือกรายการที่ต้องการประเมิน">
      <formula>NOT(ISERROR(SEARCH("โปรดเลือกรายการที่ต้องการประเมิน",C33)))</formula>
    </cfRule>
  </conditionalFormatting>
  <dataValidations count="7">
    <dataValidation type="list" allowBlank="1" showInputMessage="1" showErrorMessage="1" sqref="J8:J35" xr:uid="{C5473AE0-C879-4C81-A64F-B1BDCC82613D}">
      <formula1>$AC$5:$AC$11</formula1>
    </dataValidation>
    <dataValidation type="list" allowBlank="1" showInputMessage="1" showErrorMessage="1" sqref="I8:I15 I20:I35" xr:uid="{017D09A1-4C45-4439-8024-2839D2D4F6F7}">
      <formula1>$AC$5:$AC$23</formula1>
    </dataValidation>
    <dataValidation type="list" allowBlank="1" showInputMessage="1" showErrorMessage="1" sqref="G20:H23" xr:uid="{55817460-7F61-4862-B6C5-BBEF53B15AF1}">
      <formula1>$W$5:$W$22</formula1>
    </dataValidation>
    <dataValidation type="list" allowBlank="1" showInputMessage="1" showErrorMessage="1" sqref="I16:I19" xr:uid="{BD5C33BF-7D69-493A-B004-13FD95656A08}">
      <formula1>$AC$5:$AC$10</formula1>
    </dataValidation>
    <dataValidation type="list" showInputMessage="1" showErrorMessage="1" sqref="G16:H19" xr:uid="{37C45AAF-FB32-4F89-B91E-DF378122F253}">
      <formula1>$AF$78:$AF$1325</formula1>
    </dataValidation>
    <dataValidation type="list" allowBlank="1" showInputMessage="1" showErrorMessage="1" sqref="G24:H27" xr:uid="{3600DCA2-B4A2-4782-9BD5-050D688E5013}">
      <formula1>$AF$78:$AF$131</formula1>
    </dataValidation>
    <dataValidation type="list" allowBlank="1" showInputMessage="1" showErrorMessage="1" sqref="G28:H35" xr:uid="{4168E6C5-834A-40BA-8258-5C331E94355A}">
      <formula1>$AF$102:$AF$148</formula1>
    </dataValidation>
  </dataValidations>
  <pageMargins left="0.7" right="0.7" top="0.75" bottom="0.75" header="0.3" footer="0.3"/>
  <pageSetup scale="29" orientation="portrait" horizontalDpi="4294967292" verticalDpi="12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363A-235B-4B71-8CC0-B87407F7AE20}">
  <dimension ref="A1:AI190"/>
  <sheetViews>
    <sheetView tabSelected="1" view="pageBreakPreview" zoomScale="70" zoomScaleNormal="55" zoomScaleSheetLayoutView="70" workbookViewId="0">
      <selection activeCell="B3" sqref="B3:F3"/>
    </sheetView>
  </sheetViews>
  <sheetFormatPr defaultRowHeight="15" x14ac:dyDescent="0.25"/>
  <cols>
    <col min="1" max="1" width="18.28515625" customWidth="1"/>
    <col min="2" max="2" width="3.140625" customWidth="1"/>
    <col min="3" max="3" width="20.7109375" customWidth="1"/>
    <col min="4" max="4" width="21.28515625" customWidth="1"/>
    <col min="5" max="5" width="20.7109375" customWidth="1"/>
    <col min="6" max="6" width="21.5703125" customWidth="1"/>
    <col min="7" max="7" width="20.28515625" customWidth="1"/>
    <col min="8" max="8" width="15.7109375" customWidth="1"/>
    <col min="9" max="11" width="10.7109375" customWidth="1"/>
    <col min="12" max="12" width="8.7109375" customWidth="1"/>
    <col min="13" max="13" width="21.7109375" customWidth="1"/>
    <col min="14" max="14" width="25.7109375" customWidth="1"/>
    <col min="15" max="15" width="39.7109375" customWidth="1"/>
    <col min="16" max="16" width="1.28515625" customWidth="1"/>
    <col min="17" max="16384" width="9.140625" hidden="1" customWidth="1"/>
  </cols>
  <sheetData>
    <row r="1" spans="1:29" ht="33" customHeight="1" x14ac:dyDescent="0.25">
      <c r="A1" s="201" t="s">
        <v>0</v>
      </c>
      <c r="B1" s="202"/>
      <c r="C1" s="202"/>
      <c r="D1" s="202"/>
      <c r="E1" s="202"/>
      <c r="F1" s="202"/>
      <c r="G1" s="203"/>
      <c r="H1" s="203"/>
      <c r="I1" s="202"/>
      <c r="J1" s="202"/>
      <c r="K1" s="202"/>
      <c r="L1" s="202"/>
      <c r="M1" s="202"/>
      <c r="N1" s="202"/>
      <c r="O1" s="204"/>
      <c r="P1" s="3"/>
    </row>
    <row r="2" spans="1:29" ht="25.15" customHeight="1" x14ac:dyDescent="0.25">
      <c r="A2" s="141" t="s">
        <v>1</v>
      </c>
      <c r="B2" s="205"/>
      <c r="C2" s="206"/>
      <c r="D2" s="206"/>
      <c r="E2" s="206"/>
      <c r="F2" s="206"/>
      <c r="G2" s="207" t="s">
        <v>2</v>
      </c>
      <c r="H2" s="208"/>
      <c r="I2" s="206"/>
      <c r="J2" s="206"/>
      <c r="K2" s="206"/>
      <c r="L2" s="206"/>
      <c r="M2" s="138" t="s">
        <v>3</v>
      </c>
      <c r="N2" s="206"/>
      <c r="O2" s="209"/>
      <c r="P2" s="3"/>
    </row>
    <row r="3" spans="1:29" ht="25.15" customHeight="1" x14ac:dyDescent="0.25">
      <c r="A3" s="140" t="s">
        <v>4</v>
      </c>
      <c r="B3" s="205"/>
      <c r="C3" s="206"/>
      <c r="D3" s="206"/>
      <c r="E3" s="206"/>
      <c r="F3" s="206"/>
      <c r="G3" s="207" t="s">
        <v>5</v>
      </c>
      <c r="H3" s="208"/>
      <c r="I3" s="206"/>
      <c r="J3" s="206"/>
      <c r="K3" s="206"/>
      <c r="L3" s="206"/>
      <c r="M3" s="139" t="s">
        <v>6</v>
      </c>
      <c r="N3" s="206"/>
      <c r="O3" s="209"/>
      <c r="P3" s="3"/>
    </row>
    <row r="4" spans="1:29" ht="25.15" customHeight="1" x14ac:dyDescent="0.25">
      <c r="A4" s="142" t="s">
        <v>7</v>
      </c>
      <c r="B4" s="224"/>
      <c r="C4" s="225"/>
      <c r="D4" s="225"/>
      <c r="E4" s="225"/>
      <c r="F4" s="225"/>
      <c r="G4" s="207" t="s">
        <v>8</v>
      </c>
      <c r="H4" s="208"/>
      <c r="I4" s="206"/>
      <c r="J4" s="206"/>
      <c r="K4" s="206"/>
      <c r="L4" s="206"/>
      <c r="M4" s="139" t="s">
        <v>9</v>
      </c>
      <c r="N4" s="206"/>
      <c r="O4" s="209"/>
      <c r="P4" s="3"/>
      <c r="T4" s="23" t="s">
        <v>10</v>
      </c>
      <c r="U4" s="6" t="s">
        <v>11</v>
      </c>
      <c r="V4" s="6" t="s">
        <v>12</v>
      </c>
      <c r="W4" s="6" t="s">
        <v>13</v>
      </c>
      <c r="X4" s="6" t="s">
        <v>14</v>
      </c>
      <c r="Y4" s="6" t="s">
        <v>15</v>
      </c>
      <c r="Z4" s="6" t="s">
        <v>16</v>
      </c>
      <c r="AA4" s="6" t="s">
        <v>17</v>
      </c>
      <c r="AB4" s="25" t="s">
        <v>18</v>
      </c>
      <c r="AC4" s="33" t="s">
        <v>19</v>
      </c>
    </row>
    <row r="5" spans="1:29" ht="42.6" customHeight="1" x14ac:dyDescent="0.25">
      <c r="A5" s="201" t="s">
        <v>20</v>
      </c>
      <c r="B5" s="202"/>
      <c r="C5" s="202"/>
      <c r="D5" s="202"/>
      <c r="E5" s="202"/>
      <c r="F5" s="202"/>
      <c r="G5" s="216"/>
      <c r="H5" s="216"/>
      <c r="I5" s="202"/>
      <c r="J5" s="202"/>
      <c r="K5" s="202"/>
      <c r="L5" s="202"/>
      <c r="M5" s="202"/>
      <c r="N5" s="202"/>
      <c r="O5" s="204"/>
      <c r="P5" s="3"/>
      <c r="T5" s="30" t="s">
        <v>21</v>
      </c>
      <c r="U5" t="s">
        <v>22</v>
      </c>
      <c r="V5" s="7" t="s">
        <v>23</v>
      </c>
      <c r="W5" s="21" t="s">
        <v>24</v>
      </c>
      <c r="X5" t="s">
        <v>22</v>
      </c>
      <c r="Y5" s="7" t="s">
        <v>23</v>
      </c>
      <c r="Z5" s="21" t="s">
        <v>25</v>
      </c>
      <c r="AA5" s="87" t="s">
        <v>26</v>
      </c>
      <c r="AB5" s="26" t="s">
        <v>27</v>
      </c>
      <c r="AC5" s="34">
        <v>5</v>
      </c>
    </row>
    <row r="6" spans="1:29" ht="33" customHeight="1" x14ac:dyDescent="0.55000000000000004">
      <c r="A6" s="100" t="s">
        <v>28</v>
      </c>
      <c r="B6" s="210" t="s">
        <v>29</v>
      </c>
      <c r="C6" s="211"/>
      <c r="D6" s="211"/>
      <c r="E6" s="211"/>
      <c r="F6" s="212"/>
      <c r="G6" s="217" t="s">
        <v>30</v>
      </c>
      <c r="H6" s="218"/>
      <c r="I6" s="101" t="s">
        <v>31</v>
      </c>
      <c r="J6" s="102" t="s">
        <v>32</v>
      </c>
      <c r="K6" s="102" t="s">
        <v>33</v>
      </c>
      <c r="L6" s="219" t="s">
        <v>34</v>
      </c>
      <c r="M6" s="220"/>
      <c r="N6" s="220"/>
      <c r="O6" s="221"/>
      <c r="P6" s="3"/>
      <c r="T6" s="30" t="s">
        <v>35</v>
      </c>
      <c r="U6" t="s">
        <v>36</v>
      </c>
      <c r="V6" s="22" t="s">
        <v>37</v>
      </c>
      <c r="W6" s="21" t="s">
        <v>38</v>
      </c>
      <c r="X6" t="s">
        <v>39</v>
      </c>
      <c r="Y6" s="7" t="s">
        <v>40</v>
      </c>
      <c r="Z6" s="21" t="s">
        <v>41</v>
      </c>
      <c r="AA6" s="43" t="s">
        <v>42</v>
      </c>
      <c r="AB6" s="27" t="s">
        <v>43</v>
      </c>
      <c r="AC6" s="34">
        <v>4</v>
      </c>
    </row>
    <row r="7" spans="1:29" ht="30" x14ac:dyDescent="0.25">
      <c r="A7" s="103" t="s">
        <v>44</v>
      </c>
      <c r="B7" s="213" t="s">
        <v>194</v>
      </c>
      <c r="C7" s="214"/>
      <c r="D7" s="214"/>
      <c r="E7" s="214"/>
      <c r="F7" s="215"/>
      <c r="G7" s="222" t="s">
        <v>45</v>
      </c>
      <c r="H7" s="223"/>
      <c r="I7" s="105" t="s">
        <v>46</v>
      </c>
      <c r="J7" s="104" t="s">
        <v>47</v>
      </c>
      <c r="K7" s="104" t="s">
        <v>48</v>
      </c>
      <c r="L7" s="213" t="s">
        <v>49</v>
      </c>
      <c r="M7" s="214"/>
      <c r="N7" s="214"/>
      <c r="O7" s="215"/>
      <c r="P7" s="3"/>
      <c r="T7" s="30" t="s">
        <v>195</v>
      </c>
      <c r="U7" t="s">
        <v>51</v>
      </c>
      <c r="V7" t="s">
        <v>52</v>
      </c>
      <c r="W7" s="21" t="s">
        <v>35</v>
      </c>
      <c r="X7" t="s">
        <v>36</v>
      </c>
      <c r="Y7" s="22" t="s">
        <v>37</v>
      </c>
      <c r="Z7" s="21" t="s">
        <v>53</v>
      </c>
      <c r="AA7" s="87" t="s">
        <v>54</v>
      </c>
      <c r="AB7" s="26" t="s">
        <v>55</v>
      </c>
      <c r="AC7" s="34">
        <v>3</v>
      </c>
    </row>
    <row r="8" spans="1:29" ht="46.15" customHeight="1" x14ac:dyDescent="0.25">
      <c r="A8" s="285" t="s">
        <v>56</v>
      </c>
      <c r="B8" s="230">
        <v>1</v>
      </c>
      <c r="C8" s="288" t="str">
        <f>IF(ISBLANK($G$8),"โปรดเลือกสมรรถนะที่ต้องการประเมิน",$G$8)</f>
        <v>การแก้ไขปัญหา 
(Problem Solving)</v>
      </c>
      <c r="D8" s="288"/>
      <c r="E8" s="169" t="s">
        <v>196</v>
      </c>
      <c r="F8" s="131"/>
      <c r="G8" s="282" t="s">
        <v>38</v>
      </c>
      <c r="H8" s="234"/>
      <c r="I8" s="236">
        <v>2</v>
      </c>
      <c r="J8" s="188"/>
      <c r="K8" s="170" t="str">
        <f>IF($J$8="","ระบุคะแนน",IF($J$8&lt;$I$8,"Below",IF($J$8=$I$8,"Meet","Exceed")))</f>
        <v>ระบุคะแนน</v>
      </c>
      <c r="L8" s="66" t="s">
        <v>57</v>
      </c>
      <c r="M8" s="171" t="str" cm="1">
        <f t="array" ref="M8">_xlfn.IFS(
$G$8=$AF$78,_xlfn.XLOOKUP($J$8,$AG$78:$AG$82,$AH$78:$AH$82,"",0),
$G$8=$AF$84,_xlfn.XLOOKUP($J$8,$AG$84:$AG$88,$AH$84:$AH$88,"",0),
$G$8=$AF$90,_xlfn.XLOOKUP($J$8,$AG$90:$AG$94,$AH$90:$AH$94,"",0),
$G$8=$AF$96,_xlfn.XLOOKUP($J$8,$AG$96:$AG$100,$AH$96:$AH$100,"",0),
$G$8=$AF$102,_xlfn.XLOOKUP($J$8,$AG$102:$AG$106,$AH$102:$AH$106,"",0),
$G$8=$AF$108,_xlfn.XLOOKUP($J$8,$AG$108:$AG$112,$AH$108:$AH$112,"",0),
$G$8=$AF$114,_xlfn.XLOOKUP($J$8,$AG$114:$AG$118,$AH$114:$AH$118,"",0),
$G$8=$AF$120,_xlfn.XLOOKUP($J$8,$AG$120:$AG$124,$AH$120:$AH$124,"",0),
$G$8=$AF$126,_xlfn.XLOOKUP($J$8,$AG$126:$AG$130,$AH$126:$AH$130,"",0),
$G$8=$AF$132,_xlfn.XLOOKUP($J$8,$AG$132:$AG$136,$AH$132:$AH$136,"",0),
$G$8=$AF$138,_xlfn.XLOOKUP($J$8,$AG$138:$AG$142,$AH$138:$AH$142,"",0),
$G$8=$AF$144,_xlfn.XLOOKUP($J$8,$AG$144:$AG$148,$AH$144:$AH$148,"",0),
$G$8=$AF$149,_xlfn.XLOOKUP($J$8,$AG$149:$AG$153,$AH$149:$AH$153,"",0),
$G$8=$AF$155,_xlfn.XLOOKUP($J$8,$AG$155:$AG$159,$AH$155:$AH$159,"",0),
$G$8=$AF$161,_xlfn.XLOOKUP($J$8,$AG$161:$AG$165,$AH$161:$AH$165,"",0),
$G$8=$AF$167,_xlfn.XLOOKUP($J$8,$AG$167:$AG$171,$AH$167:$AH$171,"",0),
$G$8=$AF$173,_xlfn.XLOOKUP($J$8,$AG$173:$AG$177,$AH$173:$AH$177,"",0),
$G$8=$AF$180,_xlfn.XLOOKUP($J$8,$AG$180:$AG$184,$AH$180:$AH$184,"",0),
$G$8=$AF$186,_xlfn.XLOOKUP($J$8,$AG$186:$AG$190,$AH$186:$AH$190,"",0),
$G$16="","โปรดระบุเกณฑ์ความสามารถ"
)</f>
        <v/>
      </c>
      <c r="N8" s="171"/>
      <c r="O8" s="172"/>
      <c r="P8" s="3"/>
      <c r="T8" s="30" t="s">
        <v>58</v>
      </c>
      <c r="U8" t="s">
        <v>59</v>
      </c>
      <c r="V8" t="s">
        <v>60</v>
      </c>
      <c r="W8" s="21" t="s">
        <v>195</v>
      </c>
      <c r="X8" t="s">
        <v>51</v>
      </c>
      <c r="Y8" s="22" t="s">
        <v>52</v>
      </c>
      <c r="Z8" s="21"/>
      <c r="AA8" s="87"/>
      <c r="AB8" s="28"/>
      <c r="AC8" s="34">
        <v>2</v>
      </c>
    </row>
    <row r="9" spans="1:29" ht="34.9" customHeight="1" x14ac:dyDescent="0.25">
      <c r="A9" s="285"/>
      <c r="B9" s="231"/>
      <c r="C9" s="173" t="s">
        <v>61</v>
      </c>
      <c r="D9" s="173"/>
      <c r="E9" s="173"/>
      <c r="F9" s="174"/>
      <c r="G9" s="282"/>
      <c r="H9" s="234"/>
      <c r="I9" s="237"/>
      <c r="J9" s="188"/>
      <c r="K9" s="170"/>
      <c r="L9" s="175" t="s">
        <v>62</v>
      </c>
      <c r="M9" s="178"/>
      <c r="N9" s="178"/>
      <c r="O9" s="179"/>
      <c r="P9" s="3"/>
      <c r="T9" s="30" t="s">
        <v>53</v>
      </c>
      <c r="U9" t="s">
        <v>54</v>
      </c>
      <c r="V9" s="22" t="s">
        <v>63</v>
      </c>
      <c r="W9" s="21" t="s">
        <v>58</v>
      </c>
      <c r="X9" t="s">
        <v>59</v>
      </c>
      <c r="Y9" s="22" t="s">
        <v>60</v>
      </c>
      <c r="Z9" s="21" t="s">
        <v>64</v>
      </c>
      <c r="AA9" s="87" t="s">
        <v>65</v>
      </c>
      <c r="AB9" s="29" t="s">
        <v>66</v>
      </c>
      <c r="AC9" s="34">
        <v>1</v>
      </c>
    </row>
    <row r="10" spans="1:29" ht="34.9" customHeight="1" x14ac:dyDescent="0.25">
      <c r="A10" s="285"/>
      <c r="B10" s="231"/>
      <c r="C10" s="180" t="str" cm="1">
        <f t="array" ref="C10">_xlfn.IFS($G$8=$AF$78,_xlfn.XLOOKUP($I$8,$AG$78:$AG$82,$AH$78:$AH$82,"",0),$G$8=$AF$84,_xlfn.XLOOKUP($I$8,$AG$84:$AG$88,AH84:AH88,"",0),$G$8=$AF$90,_xlfn.XLOOKUP($I$8,AG90:AG94,AH90:AH94,"",0),$G$8=AF96,_xlfn.XLOOKUP(I8,AG96:AG100,AH96:AH100,"",0),$G$8=AF102,_xlfn.XLOOKUP(I8,AG102:AG106,AH102:AH106,"",0),$G$8=$AF$108,_xlfn.XLOOKUP(I8,AG108:AG112,AH108:AH112,"",0),G8=AF114,_xlfn.XLOOKUP(I8,AG114:AG118,AH114:AH118,"",0),G8=AF120,_xlfn.XLOOKUP(I8,AG120:AG124,AH120:AH124,"",0),G8=AF126,_xlfn.XLOOKUP(I8,AG126:AG130,AH126:AH130,"",0),G8=AF132,_xlfn.XLOOKUP(I8,AG132:AG136,AH132:AH136,"",0),G8=AF138,_xlfn.XLOOKUP(I8,AG138:AG142,AH138:AH142,"",0),G8=AF144,_xlfn.XLOOKUP(I8,AG144:AG148,AH144:AH148,"",0),G8=AF149,_xlfn.XLOOKUP(I8,AG149:AG153,AH149:AH153,"",0),G8=AF155,_xlfn.XLOOKUP(I8,AG155:AG159,AH155:AH159,"",0),G8=AF161,_xlfn.XLOOKUP(I8,AG161:AG165,AH161:AH165,"",0),G8=AF167,_xlfn.XLOOKUP(I8,AG167:AG171,AH167:AH171,"",0),G8=AF173,_xlfn.XLOOKUP(I8,AG173:AG177,AH173:AH177,"",0),G8=AF180,_xlfn.XLOOKUP(I8,AG180:AG184,AH180:AH184,"",0),G8=AF186,_xlfn.XLOOKUP(I8,AG186:AG190,AH186:AH190,"",0),G16="","โปรดระบุเกณฑ์ความสามารถ")</f>
        <v>แก้ไขปัญหา โดยศึกษาข้อมูลพื้นฐาน / ถามผู้รู้ เช่น ไล่ code แก้ bug ง่ายเองได้</v>
      </c>
      <c r="D10" s="180"/>
      <c r="E10" s="180"/>
      <c r="F10" s="181"/>
      <c r="G10" s="282"/>
      <c r="H10" s="234"/>
      <c r="I10" s="237"/>
      <c r="J10" s="188"/>
      <c r="K10" s="170"/>
      <c r="L10" s="176"/>
      <c r="M10" s="178"/>
      <c r="N10" s="178"/>
      <c r="O10" s="179"/>
      <c r="P10" s="3"/>
      <c r="T10" s="30" t="s">
        <v>67</v>
      </c>
      <c r="U10" t="s">
        <v>68</v>
      </c>
      <c r="V10" t="s">
        <v>69</v>
      </c>
      <c r="W10" s="21" t="s">
        <v>70</v>
      </c>
      <c r="X10" t="s">
        <v>71</v>
      </c>
      <c r="Y10" s="22" t="s">
        <v>72</v>
      </c>
      <c r="Z10" s="21" t="s">
        <v>73</v>
      </c>
      <c r="AA10" s="87" t="s">
        <v>74</v>
      </c>
      <c r="AB10" s="22" t="s">
        <v>75</v>
      </c>
      <c r="AC10" s="34"/>
    </row>
    <row r="11" spans="1:29" ht="34.9" customHeight="1" x14ac:dyDescent="0.25">
      <c r="A11" s="285"/>
      <c r="B11" s="231"/>
      <c r="C11" s="182"/>
      <c r="D11" s="182"/>
      <c r="E11" s="182"/>
      <c r="F11" s="183"/>
      <c r="G11" s="282"/>
      <c r="H11" s="234"/>
      <c r="I11" s="238"/>
      <c r="J11" s="188"/>
      <c r="K11" s="170"/>
      <c r="L11" s="177"/>
      <c r="M11" s="178"/>
      <c r="N11" s="178"/>
      <c r="O11" s="179"/>
      <c r="P11" s="3"/>
      <c r="T11" s="30" t="s">
        <v>38</v>
      </c>
      <c r="U11" t="s">
        <v>39</v>
      </c>
      <c r="V11" s="7" t="s">
        <v>40</v>
      </c>
      <c r="W11" s="21" t="s">
        <v>53</v>
      </c>
      <c r="X11" t="s">
        <v>54</v>
      </c>
      <c r="Y11" s="22" t="s">
        <v>63</v>
      </c>
      <c r="Z11" s="21" t="s">
        <v>76</v>
      </c>
      <c r="AA11" s="87" t="s">
        <v>77</v>
      </c>
      <c r="AB11" s="22" t="s">
        <v>78</v>
      </c>
      <c r="AC11" s="35"/>
    </row>
    <row r="12" spans="1:29" ht="46.15" customHeight="1" x14ac:dyDescent="0.25">
      <c r="A12" s="285"/>
      <c r="B12" s="230">
        <v>2</v>
      </c>
      <c r="C12" s="286" t="str">
        <f>IF(ISBLANK($G$12),"โปรดเลือกสมรรถนะที่ต้องการประเมิน",$G$12)</f>
        <v>SQL Syntax (Basic)</v>
      </c>
      <c r="D12" s="286"/>
      <c r="E12" s="286"/>
      <c r="F12" s="287"/>
      <c r="G12" s="282" t="s">
        <v>254</v>
      </c>
      <c r="H12" s="234"/>
      <c r="I12" s="236">
        <v>2</v>
      </c>
      <c r="J12" s="188"/>
      <c r="K12" s="170" t="str">
        <f>IF($J$12="","ระบุคะแนน",IF($J$12&lt;$I$12,"Below",IF($J$12=$I$12,"Meet","Exceed")))</f>
        <v>ระบุคะแนน</v>
      </c>
      <c r="L12" s="61" t="s">
        <v>57</v>
      </c>
      <c r="M12" s="171" t="str" cm="1">
        <f t="array" ref="M12">_xlfn.IFS(
$G$12=$AF$78,_xlfn.XLOOKUP($J$12,$AG$78:$AG$82,$AH$78:$AH$82,"",0),
$G$12=$AF$84,_xlfn.XLOOKUP($J$12,$AG$84:$AG$88,$AH$84:$AH$88,"",0),
$G$12=$AF$90,_xlfn.XLOOKUP($J$12,$AG$90:$AG$94,$AH$90:$AH$94,"",0),
$G$12=$AF$96,_xlfn.XLOOKUP($J$12,$AG$96:$AG$100,$AH$96:$AH$100,"",0),
$G$12=$AF$102,_xlfn.XLOOKUP($J$12,$AG$102:$AG$106,$AH$102:$AH$106,"",0),
$G$12=$AF$108,_xlfn.XLOOKUP($J$12,$AG$108:$AG$112,$AH$108:$AH$112,"",0),
$G$12=$AF$114,_xlfn.XLOOKUP($J$12,$AG$114:$AG$118,$AH$114:$AH$118,"",0),
$G$12=$AF$120,_xlfn.XLOOKUP($J$12,$AG$120:$AG$124,$AH$120:$AH$124,"",0),
$G$12=$AF$126,_xlfn.XLOOKUP($J$12,$AG$126:$AG$130,$AH$126:$AH$130,"",0),
$G$12=$AF$132,_xlfn.XLOOKUP($J$12,$AG$132:$AG$136,$AH$132:$AH$136,"",0),
$G$12=$AF$138,_xlfn.XLOOKUP($J$12,$AG$138:$AG$142,$AH$138:$AH$142,"",0),
$G$12=$AF$144,_xlfn.XLOOKUP($J$12,$AG$144:$AG$148,$AH$144:$AH$148,"",0),
$G$12=$AF$149,_xlfn.XLOOKUP($J$12,$AG$149:$AG$153,$AH$149:$AH$153,"",0),
$G$12=$AF$155,_xlfn.XLOOKUP($J$12,$AG$155:$AG$159,$AH$155:$AH$159,"",0),
$G$12=$AF$161,_xlfn.XLOOKUP($J$12,$AG$161:$AG$165,$AH$161:$AH$165,"",0),
$G$12=$AF$167,_xlfn.XLOOKUP($J$12,$AG$167:$AG$171,$AH$167:$AH$171,"",0),
$G$12=$AF$173,_xlfn.XLOOKUP($J$12,$AG$173:$AG$177,$AH$173:$AH$177,"",0),
$G$12=$AF$180,_xlfn.XLOOKUP($J$12,$AG$180:$AG$184,$AH$180:$AH$184,"",0),
$G$12=$AF$186,_xlfn.XLOOKUP($J$12,$AG$186:$AG$190,$AH$186:$AH$190,"",0),
$G$12="","โปรดระบุเกณฑ์ความสามารถ"
)</f>
        <v/>
      </c>
      <c r="N12" s="171"/>
      <c r="O12" s="172"/>
      <c r="P12" s="3"/>
      <c r="T12" s="24"/>
      <c r="W12" s="21" t="s">
        <v>79</v>
      </c>
      <c r="X12" t="s">
        <v>80</v>
      </c>
      <c r="Y12" s="22" t="s">
        <v>81</v>
      </c>
      <c r="AB12" s="29"/>
      <c r="AC12" s="29"/>
    </row>
    <row r="13" spans="1:29" ht="34.9" customHeight="1" x14ac:dyDescent="0.25">
      <c r="A13" s="285"/>
      <c r="B13" s="231"/>
      <c r="C13" s="189" t="s">
        <v>61</v>
      </c>
      <c r="D13" s="189"/>
      <c r="E13" s="189"/>
      <c r="F13" s="190"/>
      <c r="G13" s="282"/>
      <c r="H13" s="234"/>
      <c r="I13" s="237"/>
      <c r="J13" s="188"/>
      <c r="K13" s="170"/>
      <c r="L13" s="175" t="s">
        <v>62</v>
      </c>
      <c r="M13" s="178"/>
      <c r="N13" s="178"/>
      <c r="O13" s="179"/>
      <c r="P13" s="3"/>
      <c r="T13" s="24"/>
      <c r="W13" s="21" t="s">
        <v>82</v>
      </c>
      <c r="X13" t="s">
        <v>83</v>
      </c>
      <c r="Y13" s="22" t="s">
        <v>84</v>
      </c>
      <c r="AB13" s="29"/>
      <c r="AC13" s="29"/>
    </row>
    <row r="14" spans="1:29" ht="34.9" customHeight="1" x14ac:dyDescent="0.25">
      <c r="A14" s="285"/>
      <c r="B14" s="231"/>
      <c r="C14" s="180" t="str" cm="1">
        <f t="array" ref="C14">_xlfn.IFS(
$G$12=$AF$78,_xlfn.XLOOKUP($I$12,$AG$78:$AG$82,$AH$78:$AH$82,"",0),
$G$12=$AF$84,_xlfn.XLOOKUP($I$12,$AG$84:$AG$88,$AH$84:$AH$88,"",0),
$G$12=$AF$90,_xlfn.XLOOKUP($I$12,$AG$90:$AG$94,$AH$90:$AH$94,"",0),
$G$12=$AF$96,_xlfn.XLOOKUP($I$12,$AG$96:$AG$100,$AH$96:$AH$100,"",0),
$G$12=$AF$102,_xlfn.XLOOKUP($I$12,$AG$102:$AG$106,$AH$102:$AH$106,"",0),
$G$12=$AF$108,_xlfn.XLOOKUP($I$12,$AG$108:$AG$112,$AH$108:$AH$112,"",0),
$G$12=$AF$114,_xlfn.XLOOKUP($I$12,$AG$114:$AG$118,$AH$114:$AH$118,"",0),
$G$12=$AF$120,_xlfn.XLOOKUP($I$12,$AG$120:$AG$124,$AH$120:$AH$124,"",0),
$G$12=$AF$126,_xlfn.XLOOKUP($I$12,$AG$126:$AG$130,$AH$126:$AH$130,"",0),
$G$12=$AF$132,_xlfn.XLOOKUP($I$12,$AG$132:$AG$136,$AH$132:$AH$136,"",0),
$G$12=$AF$138,_xlfn.XLOOKUP($I$12,$AG$138:$AG$142,$AH$138:$AH$142,"",0),
$G$12=$AF$144,_xlfn.XLOOKUP($I$12,$AG$144:$AG$148,$AH$144:$AH$148,"",0),
$G$12=$AF$149,_xlfn.XLOOKUP($I$12,$AG$149:$AG$153,$AH$149:$AH$153,"",0),
$G$12=$AF$155,_xlfn.XLOOKUP($I$12,$AG$155:$AG$159,$AH$155:$AH$159,"",0),
$G$12=$AF$161,_xlfn.XLOOKUP($I$12,$AG$161:$AG$165,$AH$161:$AH$165,"",0),
$G$12=$AF$167,_xlfn.XLOOKUP($I$12,$AG$167:$AG$171,$AH$167:$AH$171,"",0),
$G$12=$AF$173,_xlfn.XLOOKUP($I$12,$AG$173:$AG$177,$AH$173:$AH$177,"",0),
$G$12=$AF$180,_xlfn.XLOOKUP($I$12,$AG$180:$AG$184,$AH$180:$AH$184,"",0),
$G$12=$AF$186,_xlfn.XLOOKUP($I$12,$AG$186:$AG$190,$AH$186:$AH$190,"",0),
$G$16="","โปรดระบุเกณฑ์ความสามารถ"
)</f>
        <v xml:space="preserve">มีความรู้ระดับพื้นฐาน SQL เช่น สามารถใช้ SELECT, JOIN, WHERE, GROUP BY, INSERT, UPDATE, DELETE </v>
      </c>
      <c r="D14" s="180"/>
      <c r="E14" s="180"/>
      <c r="F14" s="181"/>
      <c r="G14" s="282"/>
      <c r="H14" s="234"/>
      <c r="I14" s="237"/>
      <c r="J14" s="188"/>
      <c r="K14" s="170"/>
      <c r="L14" s="176"/>
      <c r="M14" s="178"/>
      <c r="N14" s="178"/>
      <c r="O14" s="179"/>
      <c r="P14" s="3"/>
      <c r="T14" s="24"/>
      <c r="W14" s="21" t="s">
        <v>85</v>
      </c>
      <c r="X14" t="s">
        <v>77</v>
      </c>
      <c r="Y14" s="22" t="s">
        <v>78</v>
      </c>
      <c r="Z14" s="21"/>
      <c r="AB14" s="29"/>
      <c r="AC14" s="29"/>
    </row>
    <row r="15" spans="1:29" ht="34.9" customHeight="1" x14ac:dyDescent="0.25">
      <c r="A15" s="285"/>
      <c r="B15" s="231"/>
      <c r="C15" s="182"/>
      <c r="D15" s="182"/>
      <c r="E15" s="182"/>
      <c r="F15" s="183"/>
      <c r="G15" s="282"/>
      <c r="H15" s="234"/>
      <c r="I15" s="238"/>
      <c r="J15" s="188"/>
      <c r="K15" s="170"/>
      <c r="L15" s="177"/>
      <c r="M15" s="186"/>
      <c r="N15" s="186"/>
      <c r="O15" s="187"/>
      <c r="P15" s="3"/>
      <c r="T15" s="24"/>
      <c r="W15" s="21" t="s">
        <v>25</v>
      </c>
      <c r="X15" t="s">
        <v>26</v>
      </c>
      <c r="Y15" s="22" t="s">
        <v>27</v>
      </c>
      <c r="Z15" s="21"/>
      <c r="AB15" s="29"/>
      <c r="AC15" s="29"/>
    </row>
    <row r="16" spans="1:29" ht="40.15" customHeight="1" x14ac:dyDescent="0.25">
      <c r="A16" s="285"/>
      <c r="B16" s="230">
        <v>3</v>
      </c>
      <c r="C16" s="232" t="str">
        <f>IF(ISBLANK($G$16),"โปรดเลือกสมรรถนะที่ต้องการประเมิน",$G$16)</f>
        <v>ทักษะการสื่อสารและเจรจา 
(Communication &amp; Negotiation)</v>
      </c>
      <c r="D16" s="232"/>
      <c r="E16" s="232"/>
      <c r="F16" s="233"/>
      <c r="G16" s="234" t="s">
        <v>53</v>
      </c>
      <c r="H16" s="234"/>
      <c r="I16" s="236">
        <v>2</v>
      </c>
      <c r="J16" s="188"/>
      <c r="K16" s="170" t="str">
        <f>IF($J$16="","ระบุคะแนน",IF($J$16&lt;$I$16,"Below",IF($J$16=$I$16,"Meet","Exceed")))</f>
        <v>ระบุคะแนน</v>
      </c>
      <c r="L16" s="66" t="s">
        <v>57</v>
      </c>
      <c r="M16" s="195" t="str" cm="1">
        <f t="array" ref="M16">_xlfn.IFS(
$G$16=$AF$78,_xlfn.XLOOKUP($J$16,$AG$78:$AG$82,$AH$78:$AH$82,"",0),
$G$16=$AF$84,_xlfn.XLOOKUP($J$16,$AG$84:$AG$88,$AH$84:$AH$88,"",0),
$G$16=$AF$90,_xlfn.XLOOKUP($J$16,$AG$90:$AG$94,$AH$90:$AH$94,"",0),
$G$16=$AF$96,_xlfn.XLOOKUP($J$16,$AG$96:$AG$100,$AH$96:$AH$100,"",0),
$G$16=$AF$102,_xlfn.XLOOKUP($J$16,$AG$102:$AG$106,$AH$102:$AH$106,"",0),
$G$16=$AF$108,_xlfn.XLOOKUP($J$16,$AG$108:$AG$112,$AH$108:$AH$112,"",0),
$G$16=$AF$114,_xlfn.XLOOKUP($J$16,$AG$114:$AG$118,$AH$114:$AH$118,"",0),
$G$16=$AF$120,_xlfn.XLOOKUP($J$16,$AG$120:$AG$124,$AH$120:$AH$124,"",0),
$G$16=$AF$126,_xlfn.XLOOKUP($J$16,$AG$126:$AG$130,$AH$126:$AH$130,"",0),
$G$16=$AF$132,_xlfn.XLOOKUP($J$16,$AG$132:$AG$136,$AH$132:$AH$136,"",0),
$G$16=$AF$138,_xlfn.XLOOKUP($J$16,$AG$138:$AG$142,$AH$138:$AH$142,"",0),
$G$16=$AF$144,_xlfn.XLOOKUP($J$16,$AG$144:$AG$148,$AH$144:$AH$148,"",0),
$G$16=$AF$149,_xlfn.XLOOKUP($J$16,$AG$149:$AG$153,$AH$149:$AH$153,"",0),
$G$16=$AF$155,_xlfn.XLOOKUP($J$16,$AG$155:$AG$159,$AH$155:$AH$159,"",0),
$G$16=$AF$161,_xlfn.XLOOKUP($J$16,$AG$161:$AG$165,$AH$161:$AH$165,"",0),
$G$16=$AF$167,_xlfn.XLOOKUP($J$16,$AG$167:$AG$171,$AH$167:$AH$171,"",0),
$G$16=$AF$173,_xlfn.XLOOKUP($J$16,$AG$173:$AG$177,$AH$173:$AH$177,"",0),
$G$16=$AF$180,_xlfn.XLOOKUP($J$16,$AG$180:$AG$184,$AH$180:$AH$184,"",0),
$G$16=$AF$186,_xlfn.XLOOKUP($J$16,$AG$186:$AG$190,$AH$186:$AH$190,"",0),
$G$16="","โปรดระบุเกณฑ์ความสามารถ"
)</f>
        <v/>
      </c>
      <c r="N16" s="195"/>
      <c r="O16" s="196"/>
      <c r="P16" s="3"/>
      <c r="T16" s="24"/>
      <c r="W16" s="21" t="s">
        <v>86</v>
      </c>
      <c r="X16" t="s">
        <v>87</v>
      </c>
      <c r="Y16" s="22" t="s">
        <v>75</v>
      </c>
      <c r="AB16" s="29"/>
      <c r="AC16" s="29"/>
    </row>
    <row r="17" spans="1:30" ht="34.9" customHeight="1" x14ac:dyDescent="0.25">
      <c r="A17" s="285"/>
      <c r="B17" s="231"/>
      <c r="C17" s="189" t="s">
        <v>61</v>
      </c>
      <c r="D17" s="189"/>
      <c r="E17" s="189"/>
      <c r="F17" s="190"/>
      <c r="G17" s="234"/>
      <c r="H17" s="234"/>
      <c r="I17" s="237"/>
      <c r="J17" s="188"/>
      <c r="K17" s="170"/>
      <c r="L17" s="175" t="s">
        <v>62</v>
      </c>
      <c r="M17" s="178"/>
      <c r="N17" s="178"/>
      <c r="O17" s="179"/>
      <c r="P17" s="3"/>
      <c r="T17" s="24"/>
      <c r="W17" s="7" t="s">
        <v>88</v>
      </c>
      <c r="X17" s="43"/>
      <c r="Y17" s="22"/>
      <c r="AB17" s="29"/>
      <c r="AC17" s="29"/>
    </row>
    <row r="18" spans="1:30" ht="34.9" customHeight="1" x14ac:dyDescent="0.25">
      <c r="A18" s="285"/>
      <c r="B18" s="231"/>
      <c r="C18" s="191" t="str" cm="1">
        <f t="array" ref="C18">_xlfn.IFS(
$G$16=$AF$78,_xlfn.XLOOKUP($I$16,$AG$78:$AG$82,$AH$78:$AH$82,"",0),
$G$16=$AF$84,_xlfn.XLOOKUP($I$16,$AG$84:$AG$88,$AH$84:$AH$88,"",0),
$G$16=$AF$90,_xlfn.XLOOKUP($I$16,$AG$90:$AG$94,$AH$90:$AH$94,"",0),
$G$16=$AF$96,_xlfn.XLOOKUP($I$16,$AG$96:$AG$100,$AH$96:$AH$100,"",0),
$G$16=$AF$102,_xlfn.XLOOKUP($I$16,$AG$102:$AG$106,$AH$102:$AH$106,"",0),
$G$16=$AF$108,_xlfn.XLOOKUP($I$16,$AG$108:$AG$112,$AH$108:$AH$112,"",0),
$G$16=$AF$114,_xlfn.XLOOKUP($I$16,$AG$114:$AG$118,$AH$114:$AH$118,"",0),
$G$16=$AF$120,_xlfn.XLOOKUP($I$16,$AG$120:$AG$124,$AH$120:$AH$124,"",0),
$G$16=$AF$126,_xlfn.XLOOKUP($I$16,$AG$126:$AG$130,$AH$126:$AH$130,"",0),
$G$16=$AF$132,_xlfn.XLOOKUP($I$16,$AG$132:$AG$136,$AH$132:$AH$136,"",0),
$G$16=$AF$138,_xlfn.XLOOKUP($I$16,$AG$138:$AG$142,$AH$138:$AH$142,"",0),
$G$16=$AF$144,_xlfn.XLOOKUP($I$16,$AG$144:$AG$148,$AH$144:$AH$148,"",0),
$G$16=$AF$149,_xlfn.XLOOKUP($I$16,$AG$149:$AG$153,$AH$149:$AH$153,"",0),
$G$16=$AF$155,_xlfn.XLOOKUP($I$16,$AG$155:$AG$159,$AH$155:$AH$159,"",0),
$G$16=$AF$161,_xlfn.XLOOKUP($I$16,$AG$161:$AG$165,$AH$161:$AH$165,"",0),
$G$16=$AF$167,_xlfn.XLOOKUP($I$16,$AG$167:$AG$171,$AH$167:$AH$171,"",0),
$G$16=$AF$173,_xlfn.XLOOKUP($I$16,$AG$173:$AG$177,$AH$173:$AH$177,"",0),
$G$16=$AF$180,_xlfn.XLOOKUP($I$16,$AG$180:$AG$184,$AH$180:$AH$184,"",0),
$G$16=$AF$186,_xlfn.XLOOKUP($I$16,$AG$186:$AG$190,$AH$186:$AH$190,"",0),
$G$16="","โปรดระบุเกณฑ์ความสามารถ"
)</f>
        <v>สื่อสารรู้เรื่อง เช่น เข้าใจเนื่อหาที่ผู้สมัครต้องการสื่อสาร</v>
      </c>
      <c r="D18" s="191"/>
      <c r="E18" s="191"/>
      <c r="F18" s="192"/>
      <c r="G18" s="234"/>
      <c r="H18" s="234"/>
      <c r="I18" s="237"/>
      <c r="J18" s="188"/>
      <c r="K18" s="170"/>
      <c r="L18" s="176"/>
      <c r="M18" s="178"/>
      <c r="N18" s="178"/>
      <c r="O18" s="179"/>
      <c r="P18" s="3"/>
      <c r="T18" s="24"/>
      <c r="Y18" s="22"/>
      <c r="AB18" s="29"/>
      <c r="AC18" s="29"/>
    </row>
    <row r="19" spans="1:30" ht="40.9" customHeight="1" x14ac:dyDescent="0.25">
      <c r="A19" s="285"/>
      <c r="B19" s="231"/>
      <c r="C19" s="193"/>
      <c r="D19" s="193"/>
      <c r="E19" s="193"/>
      <c r="F19" s="194"/>
      <c r="G19" s="234"/>
      <c r="H19" s="234"/>
      <c r="I19" s="238"/>
      <c r="J19" s="188"/>
      <c r="K19" s="170"/>
      <c r="L19" s="177"/>
      <c r="M19" s="186"/>
      <c r="N19" s="186"/>
      <c r="O19" s="187"/>
      <c r="P19" s="3"/>
      <c r="T19" s="24"/>
      <c r="Y19" s="22"/>
      <c r="AB19" s="29"/>
      <c r="AC19" s="29"/>
    </row>
    <row r="20" spans="1:30" ht="40.15" customHeight="1" x14ac:dyDescent="0.25">
      <c r="A20" s="227" t="s">
        <v>89</v>
      </c>
      <c r="B20" s="230">
        <v>4</v>
      </c>
      <c r="C20" s="232" t="str">
        <f>IF(ISBLANK($G$20),"โปรดเลือกสมรรถนะที่ต้องการประเมิน",$G$20)</f>
        <v>ความฉับไวในการเรียนรู้ (Learning Agility)</v>
      </c>
      <c r="D20" s="232"/>
      <c r="E20" s="232"/>
      <c r="F20" s="233"/>
      <c r="G20" s="283" t="s">
        <v>212</v>
      </c>
      <c r="H20" s="284"/>
      <c r="I20" s="236">
        <v>2</v>
      </c>
      <c r="J20" s="188"/>
      <c r="K20" s="170" t="str">
        <f>IF($J$20="","ระบุคะแนน",IF($J$20&lt;$I$20,"Below",IF($J$20=$I$20,"Meet","Exceed")))</f>
        <v>ระบุคะแนน</v>
      </c>
      <c r="L20" s="66" t="s">
        <v>57</v>
      </c>
      <c r="M20" s="171" t="str" cm="1">
        <f t="array" ref="M20">_xlfn.IFS(
$G$8=$AF$78,_xlfn.XLOOKUP($J$20,$AG$78:$AG$82,$AH$78:$AH$82,"",0),
$G$8=$AF$84,_xlfn.XLOOKUP($J$20,$AG$84:$AG$88,$AH$84:$AH$88,"",0),
$G$8=$AF$90,_xlfn.XLOOKUP($J$20,$AG$90:$AG$94,$AH$90:$AH$94,"",0),
$G$8=$AF$96,_xlfn.XLOOKUP($J$20,$AG$96:$AG$100,$AH$96:$AH$100,"",0),
$G$8=$AF$102,_xlfn.XLOOKUP($J$20,$AG$102:$AG$106,$AH$102:$AH$106,"",0),
$G$8=$AF$108,_xlfn.XLOOKUP($J$20,$AG$108:$AG$112,$AH$108:$AH$112,"",0),
$G$8=$AF$114,_xlfn.XLOOKUP($J$20,$AG$114:$AG$118,$AH$114:$AH$118,"",0),
$G$8=$AF$120,_xlfn.XLOOKUP($J$20,$AG$120:$AG$124,$AH$120:$AH$124,"",0),
$G$8=$AF$126,_xlfn.XLOOKUP($J$20,$AG$126:$AG$130,$AH$126:$AH$130,"",0),
$G$8=$AF$132,_xlfn.XLOOKUP($J$20,$AG$132:$AG$136,$AH$132:$AH$136,"",0),
$G$8=$AF$138,_xlfn.XLOOKUP($J$20,$AG$138:$AG$142,$AH$138:$AH$142,"",0),
$G$8=$AF$144,_xlfn.XLOOKUP($J$20,$AG$144:$AG$148,$AH$144:$AH$148,"",0),
$G$8=$AF$149,_xlfn.XLOOKUP($J$20,$AG$149:$AG$153,$AH$149:$AH$153,"",0),
$G$8=$AF$155,_xlfn.XLOOKUP($J$20,$AG$155:$AG$159,$AH$155:$AH$159,"",0),
$G$8=$AF$161,_xlfn.XLOOKUP($J$20,$AG$161:$AG$165,$AH$161:$AH$165,"",0),
$G$8=$AF$167,_xlfn.XLOOKUP($J$20,$AG$167:$AG$171,$AH$167:$AH$171,"",0),
$G$8=$AF$173,_xlfn.XLOOKUP($J$20,$AG$173:$AG$177,$AH$173:$AH$177,"",0),
$G$8=$AF$180,_xlfn.XLOOKUP($J$20,$AG$180:$AG$184,$AH$180:$AH$184,"",0),
$G$8=$AF$186,_xlfn.XLOOKUP($J$20,$AG$186:$AG$190,$AH$186:$AH$190,"",0),
$G$20="","โปรดระบุเกณฑ์ความสามารถ"
)</f>
        <v/>
      </c>
      <c r="N20" s="171"/>
      <c r="O20" s="172"/>
      <c r="P20" s="3"/>
      <c r="T20" s="24"/>
      <c r="Y20" s="22"/>
      <c r="AB20" s="29"/>
      <c r="AC20" s="29"/>
    </row>
    <row r="21" spans="1:30" ht="34.9" customHeight="1" x14ac:dyDescent="0.25">
      <c r="A21" s="244"/>
      <c r="B21" s="231"/>
      <c r="C21" s="189" t="s">
        <v>61</v>
      </c>
      <c r="D21" s="189"/>
      <c r="E21" s="189"/>
      <c r="F21" s="190"/>
      <c r="G21" s="283"/>
      <c r="H21" s="284"/>
      <c r="I21" s="237"/>
      <c r="J21" s="188"/>
      <c r="K21" s="170"/>
      <c r="L21" s="175" t="s">
        <v>62</v>
      </c>
      <c r="M21" s="178"/>
      <c r="N21" s="178"/>
      <c r="O21" s="179"/>
      <c r="P21" s="3"/>
      <c r="T21" s="24"/>
      <c r="Y21" s="22"/>
      <c r="AB21" s="29"/>
      <c r="AC21" s="29"/>
    </row>
    <row r="22" spans="1:30" ht="34.9" customHeight="1" x14ac:dyDescent="0.25">
      <c r="A22" s="244"/>
      <c r="B22" s="231"/>
      <c r="C22" s="191" t="str" cm="1">
        <f t="array" ref="C22">_xlfn.IFS(
$G$20=$AF$78,_xlfn.XLOOKUP($I$20,$AG$78:$AG$82,$AH$78:$AH$82,"",0),
$G$20=$AF$84,_xlfn.XLOOKUP($I$20,$AG$84:$AG$88,$AH$84:$AH$88,"",0),
$G$20=$AF$90,_xlfn.XLOOKUP($I$20,$AG$90:$AG$94,$AH$90:$AH$94,"",0),
$G$20=$AF$96,_xlfn.XLOOKUP($I$20,$AG$96:$AG$100,$AH$96:$AH$100,"",0),
$G$20=$AF$102,_xlfn.XLOOKUP($I$20,$AG$102:$AG$106,$AH$102:$AH$106,"",0),
$G$20=$AF$108,_xlfn.XLOOKUP($I$20,$AG$108:$AG$112,$AH$108:$AH$112,"",0),
$G$20=$AF$114,_xlfn.XLOOKUP($I$20,$AG$114:$AG$118,$AH$114:$AH$118,"",0),
$G$20=$AF$120,_xlfn.XLOOKUP($I$20,$AG$120:$AG$124,$AH$120:$AH$124,"",0),
$G$20=$AF$126,_xlfn.XLOOKUP($I$20,$AG$126:$AG$130,$AH$126:$AH$130,"",0),
$G$20=$AF$132,_xlfn.XLOOKUP($I$20,$AG$132:$AG$136,$AH$132:$AH$136,"",0),
$G$20=$AF$138,_xlfn.XLOOKUP($I$20,$AG$138:$AG$142,$AH$138:$AH$142,"",0),
$G$20=$AF$144,_xlfn.XLOOKUP($I$20,$AG$144:$AG$148,$AH$144:$AH$148,"",0),
$G$20=$AF$149,_xlfn.XLOOKUP($I$20,$AG$149:$AG$153,$AH$149:$AH$153,"",0),
$G$20=$AF$155,_xlfn.XLOOKUP($I$20,$AG$155:$AG$159,$AH$155:$AH$159,"",0),
$G$20=$AF$161,_xlfn.XLOOKUP($I$20,$AG$161:$AG$165,$AH$161:$AH$165,"",0),
$G$20=$AF$167,_xlfn.XLOOKUP($I$20,$AG$167:$AG$171,$AH$167:$AH$171,"",0),
$G$20=$AF$173,_xlfn.XLOOKUP($I$20,$AG$173:$AG$177,$AH$173:$AH$177,"",0),
$G$20=$AF$180,_xlfn.XLOOKUP($I$20,$AG$180:$AG$184,$AH$180:$AH$184,"",0),
$G$20=$AF$186,_xlfn.XLOOKUP($I$20,$AG$186:$AG$190,$AH$186:$AH$190,"",0),
$G$16="","โปรดระบุเกณฑ์ความสามารถ"
)</f>
        <v>1. ใช้เวลาในการเรียนรู้ /ทำความเข้าใจในเรื่องง่ายได้ 2. สามารถปรับใช้ได้ภายในเวลาที่เหมาะสม</v>
      </c>
      <c r="D22" s="191"/>
      <c r="E22" s="191"/>
      <c r="F22" s="192"/>
      <c r="G22" s="283"/>
      <c r="H22" s="284"/>
      <c r="I22" s="237"/>
      <c r="J22" s="188"/>
      <c r="K22" s="170"/>
      <c r="L22" s="176"/>
      <c r="M22" s="178"/>
      <c r="N22" s="178"/>
      <c r="O22" s="179"/>
      <c r="P22" s="3"/>
      <c r="T22" s="24"/>
      <c r="W22" s="21"/>
      <c r="Y22" s="22"/>
      <c r="AB22" s="29"/>
      <c r="AC22" s="29"/>
    </row>
    <row r="23" spans="1:30" ht="34.9" customHeight="1" x14ac:dyDescent="0.25">
      <c r="A23" s="244"/>
      <c r="B23" s="231"/>
      <c r="C23" s="193"/>
      <c r="D23" s="193"/>
      <c r="E23" s="193"/>
      <c r="F23" s="194"/>
      <c r="G23" s="283"/>
      <c r="H23" s="284"/>
      <c r="I23" s="238"/>
      <c r="J23" s="188"/>
      <c r="K23" s="170"/>
      <c r="L23" s="177"/>
      <c r="M23" s="186"/>
      <c r="N23" s="186"/>
      <c r="O23" s="187"/>
      <c r="P23" s="3"/>
      <c r="T23" s="24"/>
      <c r="Y23" s="22"/>
      <c r="AB23" s="29"/>
      <c r="AC23" s="35"/>
    </row>
    <row r="24" spans="1:30" ht="39.6" customHeight="1" x14ac:dyDescent="0.25">
      <c r="A24" s="244"/>
      <c r="B24" s="230">
        <v>5</v>
      </c>
      <c r="C24" s="232" t="str">
        <f>IF(ISBLANK($G$24),"โปรดเลือกสมรรถนะที่ต้องการประเมิน",$G$24)</f>
        <v>รับผิดชอบงานของตนเอง 
(Accountability / Ownership)</v>
      </c>
      <c r="D24" s="232"/>
      <c r="E24" s="232"/>
      <c r="F24" s="233"/>
      <c r="G24" s="282" t="s">
        <v>82</v>
      </c>
      <c r="H24" s="234"/>
      <c r="I24" s="236">
        <v>2</v>
      </c>
      <c r="J24" s="188"/>
      <c r="K24" s="170" t="str">
        <f>IF($J$24="","ระบุคะแนน",IF($J$24&lt;$I$24,"Below",IF($J$24=$I$24,"Meet","Exceed")))</f>
        <v>ระบุคะแนน</v>
      </c>
      <c r="L24" s="66" t="s">
        <v>57</v>
      </c>
      <c r="M24" s="239" t="str" cm="1">
        <f t="array" ref="M24">_xlfn.IFS(
$G$24=$AF$78,_xlfn.XLOOKUP($J$24,$AG$78:$AG$82,$AH$78:$AH$82,"",0),
$G$24=$AF$84,_xlfn.XLOOKUP($J$24,$AG$84:$AG$88,$AH$84:$AH$88,"",0),
$G$24=$AF$90,_xlfn.XLOOKUP($J$24,$AG$90:$AG$94,$AH$90:$AH$94,"",0),
$G$24=$AF$96,_xlfn.XLOOKUP($J$24,$AG$96:$AG$100,$AH$96:$AH$100,"",0),
$G$24=$AF$102,_xlfn.XLOOKUP($J$24,$AG$102:$AG$106,$AH$102:$AH$106,"",0),
$G$24=$AF$108,_xlfn.XLOOKUP($J$24,$AG$108:$AG$112,$AH$108:$AH$112,"",0),
$G$24=$AF$114,_xlfn.XLOOKUP($J$24,$AG$114:$AG$118,$AH$114:$AH$118,"",0),
$G$24=$AF$120,_xlfn.XLOOKUP($J$24,$AG$120:$AG$124,$AH$120:$AH$124,"",0),
$G$24=$AF$126,_xlfn.XLOOKUP($J$24,$AG$126:$AG$130,$AH$126:$AH$130,"",0),
$G$24=$AF$132,_xlfn.XLOOKUP($J$24,$AG$132:$AG$136,$AH$132:$AH$136,"",0),
$G$24=$AF$138,_xlfn.XLOOKUP($J$24,$AG$138:$AG$142,$AH$138:$AH$142,"",0),
$G$24=$AF$144,_xlfn.XLOOKUP($J$24,$AG$144:$AG$148,$AH$144:$AH$148,"",0),
$G$24=$AF$149,_xlfn.XLOOKUP($J$24,$AG$149:$AG$153,$AH$149:$AH$153,"",0),
$G$24=$AF$155,_xlfn.XLOOKUP($J$24,$AG$155:$AG$159,$AH$155:$AH$159,"",0),
$G$24=$AF$161,_xlfn.XLOOKUP($J$24,$AG$161:$AG$165,$AH$161:$AH$165,"",0),
$G$24=$AF$167,_xlfn.XLOOKUP($J$24,$AG$167:$AG$171,$AH$167:$AH$171,"",0),
$G$24=$AF$173,_xlfn.XLOOKUP($J$24,$AG$173:$AG$177,$AH$173:$AH$177,"",0),
$G$24=$AF$180,_xlfn.XLOOKUP($J$24,$AG$180:$AG$184,$AH$180:$AH$184,"",0),
$G$24=$AF$186,_xlfn.XLOOKUP($J$24,$AG$186:$AG$190,$AH$186:$AH$190,"",0),
$G$24="","โปรดระบุเกณฑ์ความสามารถ"
)</f>
        <v/>
      </c>
      <c r="N24" s="239"/>
      <c r="O24" s="240"/>
      <c r="P24" s="3"/>
    </row>
    <row r="25" spans="1:30" ht="34.9" customHeight="1" x14ac:dyDescent="0.25">
      <c r="A25" s="244"/>
      <c r="B25" s="231"/>
      <c r="C25" s="241" t="s">
        <v>61</v>
      </c>
      <c r="D25" s="241"/>
      <c r="E25" s="241"/>
      <c r="F25" s="242"/>
      <c r="G25" s="282"/>
      <c r="H25" s="234"/>
      <c r="I25" s="237"/>
      <c r="J25" s="188"/>
      <c r="K25" s="170"/>
      <c r="L25" s="175" t="s">
        <v>62</v>
      </c>
      <c r="M25" s="178"/>
      <c r="N25" s="178"/>
      <c r="O25" s="179"/>
      <c r="P25" s="3"/>
      <c r="T25" s="80" t="s">
        <v>90</v>
      </c>
      <c r="U25" s="80" t="s">
        <v>91</v>
      </c>
      <c r="V25" s="80" t="s">
        <v>92</v>
      </c>
      <c r="W25" s="83" t="s">
        <v>19</v>
      </c>
      <c r="X25" s="83" t="s">
        <v>93</v>
      </c>
      <c r="Y25" s="91" t="s">
        <v>94</v>
      </c>
      <c r="Z25" s="83" t="s">
        <v>95</v>
      </c>
      <c r="AA25" s="89"/>
      <c r="AB25" s="89"/>
      <c r="AC25" s="89"/>
      <c r="AD25" s="89"/>
    </row>
    <row r="26" spans="1:30" ht="34.9" customHeight="1" x14ac:dyDescent="0.5">
      <c r="A26" s="244"/>
      <c r="B26" s="231"/>
      <c r="C26" s="191" t="str" cm="1">
        <f t="array" ref="C26">_xlfn.IFS(
$G$24=$AF$78,_xlfn.XLOOKUP($I$24,$AG$78:$AG$82,$AH$78:$AH$82,"",0),
$G$24=$AF$84,_xlfn.XLOOKUP($I$24,$AG$84:$AG$88,$AH$84:$AH$88,"",0),
$G$24=$AF$90,_xlfn.XLOOKUP($I$24,$AG$90:$AG$94,$AH$90:$AH$94,"",0),
$G$24=$AF$96,_xlfn.XLOOKUP($I$24,$AG$96:$AG$100,$AH$96:$AH$100,"",0),
$G$24=$AF$102,_xlfn.XLOOKUP($I$24,$AG$102:$AG$106,$AH$102:$AH$106,"",0),
$G$24=$AF$108,_xlfn.XLOOKUP($I$24,$AG$108:$AG$112,$AH$108:$AH$112,"",0),
$G$24=$AF$114,_xlfn.XLOOKUP($I$24,$AG$114:$AG$118,$AH$114:$AH$118,"",0),
$G$24=$AF$120,_xlfn.XLOOKUP($I$24,$AG$120:$AG$124,$AH$120:$AH$124,"",0),
$G$24=$AF$126,_xlfn.XLOOKUP($I$24,$AG$126:$AG$130,$AH$126:$AH$130,"",0),
$G$24=$AF$132,_xlfn.XLOOKUP($I$24,$AG$132:$AG$136,$AH$132:$AH$136,"",0),
$G$24=$AF$138,_xlfn.XLOOKUP($I$24,$AG$138:$AG$142,$AH$138:$AH$142,"",0),
$G$24=$AF$144,_xlfn.XLOOKUP($I$24,$AG$144:$AG$148,$AH$144:$AH$148,"",0),
$G$24=$AF$149,_xlfn.XLOOKUP($I$24,$AG$149:$AG$153,$AH$149:$AH$153,"",0),
$G$24=$AF$155,_xlfn.XLOOKUP($I$24,$AG$155:$AG$159,$AH$155:$AH$159,"",0),
$G$24=$AF$161,_xlfn.XLOOKUP($I$24,$AG$161:$AG$165,$AH$161:$AH$165,"",0),
$G$24=$AF$167,_xlfn.XLOOKUP($I$24,$AG$167:$AG$171,$AH$167:$AH$171,"",0),
$G$24=$AF$173,_xlfn.XLOOKUP($I$24,$AG$173:$AG$177,$AH$173:$AH$177,"",0),
$G$24=$AF$180,_xlfn.XLOOKUP($I$24,$AG$180:$AG$184,$AH$180:$AH$184,"",0),
$G$24=$AF$186,_xlfn.XLOOKUP($I$24,$AG$186:$AG$190,$AH$186:$AH$190,"",0),
$G$24="","โปรดระบุเกณฑ์ความสามารถ"
)</f>
        <v>1. รับผิดชอบงานที่รับมอบหมาย 2. มุ่งมั่นงานให้มีคุณภาพ 3. ให้ความสำคัญกับเวลา</v>
      </c>
      <c r="D26" s="191"/>
      <c r="E26" s="191"/>
      <c r="F26" s="192"/>
      <c r="G26" s="282"/>
      <c r="H26" s="234"/>
      <c r="I26" s="237"/>
      <c r="J26" s="188"/>
      <c r="K26" s="170"/>
      <c r="L26" s="176"/>
      <c r="M26" s="178"/>
      <c r="N26" s="178"/>
      <c r="O26" s="179"/>
      <c r="P26" s="3"/>
      <c r="T26" s="82" t="s">
        <v>10</v>
      </c>
      <c r="U26" s="80">
        <v>1</v>
      </c>
      <c r="V26" s="80">
        <f>$I$8</f>
        <v>2</v>
      </c>
      <c r="W26" s="83">
        <f>$J$8</f>
        <v>0</v>
      </c>
      <c r="X26" s="78">
        <f>IF($J$8&lt;$I$8,1,IF($J$8=$I$8,2,3))</f>
        <v>1</v>
      </c>
      <c r="Y26" s="91"/>
      <c r="Z26" s="84"/>
      <c r="AA26" s="243"/>
      <c r="AB26" s="243"/>
      <c r="AC26" s="243"/>
      <c r="AD26" s="226"/>
    </row>
    <row r="27" spans="1:30" ht="42.6" customHeight="1" x14ac:dyDescent="0.5">
      <c r="A27" s="244"/>
      <c r="B27" s="231"/>
      <c r="C27" s="193"/>
      <c r="D27" s="193"/>
      <c r="E27" s="193"/>
      <c r="F27" s="194"/>
      <c r="G27" s="282"/>
      <c r="H27" s="234"/>
      <c r="I27" s="238"/>
      <c r="J27" s="188"/>
      <c r="K27" s="170"/>
      <c r="L27" s="177"/>
      <c r="M27" s="186"/>
      <c r="N27" s="186"/>
      <c r="O27" s="187"/>
      <c r="P27" s="3"/>
      <c r="T27" s="82" t="s">
        <v>10</v>
      </c>
      <c r="U27" s="80">
        <v>2</v>
      </c>
      <c r="V27" s="80">
        <f>$I$12</f>
        <v>2</v>
      </c>
      <c r="W27" s="83">
        <f>$J$12</f>
        <v>0</v>
      </c>
      <c r="X27" s="78">
        <f>IF($J$12&lt;$I$12,1,IF($J$12=$I$12,2,3))</f>
        <v>1</v>
      </c>
      <c r="Y27" s="91"/>
      <c r="Z27" s="85"/>
      <c r="AA27" s="243"/>
      <c r="AB27" s="243"/>
      <c r="AC27" s="243"/>
      <c r="AD27" s="226"/>
    </row>
    <row r="28" spans="1:30" ht="40.15" customHeight="1" x14ac:dyDescent="0.5">
      <c r="A28" s="227" t="s">
        <v>96</v>
      </c>
      <c r="B28" s="230">
        <v>6</v>
      </c>
      <c r="C28" s="232" t="str">
        <f>IF(ISBLANK($G$28),"โปรดเลือกสมรรถนะที่ต้องการประเมิน",$G$28)</f>
        <v>การปรับตัว &amp; การทำงานร่วมกันเป็นทีม
(Adaptability &amp; Teamwork)</v>
      </c>
      <c r="D28" s="232"/>
      <c r="E28" s="232"/>
      <c r="F28" s="233"/>
      <c r="G28" s="234" t="s">
        <v>41</v>
      </c>
      <c r="H28" s="234"/>
      <c r="I28" s="236">
        <v>2</v>
      </c>
      <c r="J28" s="188"/>
      <c r="K28" s="170" t="str">
        <f>IF($J$28="","ระบุคะแนน",IF($J$28&lt;$I$28,"Below",IF($J$28=$I$28,"Meet","Exceed")))</f>
        <v>ระบุคะแนน</v>
      </c>
      <c r="L28" s="66" t="s">
        <v>57</v>
      </c>
      <c r="M28" s="171" t="str" cm="1">
        <f t="array" ref="M28">_xlfn.IFS(
$G$28=$AF$78,_xlfn.XLOOKUP($J$28,$AG$78:$AG$82,$AH$78:$AH$82,"",0),
$G$28=$AF$84,_xlfn.XLOOKUP($J$28,$AG$84:$AG$88,$AH$84:$AH$88,"",0),
$G$28=$AF$90,_xlfn.XLOOKUP($J$28,$AG$90:$AG$94,$AH$90:$AH$94,"",0),
$G$28=$AF$96,_xlfn.XLOOKUP($J$28,$AG$96:$AG$100,$AH$96:$AH$100,"",0),
$G$28=$AF$102,_xlfn.XLOOKUP($J$28,$AG$102:$AG$106,$AH$102:$AH$106,"",0),
$G$28=$AF$108,_xlfn.XLOOKUP($J$28,$AG$108:$AG$112,$AH$108:$AH$112,"",0),
$G$28=$AF$114,_xlfn.XLOOKUP($J$28,$AG$114:$AG$118,$AH$114:$AH$118,"",0),
$G$28=$AF$120,_xlfn.XLOOKUP($J$28,$AG$120:$AG$124,$AH$120:$AH$124,"",0),
$G$28=$AF$126,_xlfn.XLOOKUP($J$28,$AG$126:$AG$130,$AH$126:$AH$130,"",0),
$G$28=$AF$132,_xlfn.XLOOKUP($J$28,$AG$132:$AG$136,$AH$132:$AH$136,"",0),
$G$28=$AF$138,_xlfn.XLOOKUP($J$28,$AG$138:$AG$142,$AH$138:$AH$142,"",0),
$G$28=$AF$144,_xlfn.XLOOKUP($J$28,$AG$144:$AG$148,$AH$144:$AH$148,"",0),
$G$28=$AF$149,_xlfn.XLOOKUP($J$28,$AG$149:$AG$153,$AH$149:$AH$153,"",0),
$G$28=$AF$155,_xlfn.XLOOKUP($J$28,$AG$155:$AG$159,$AH$155:$AH$159,"",0),
$G$28=$AF$161,_xlfn.XLOOKUP($J$28,$AG$161:$AG$165,$AH$161:$AH$165,"",0),
$G$28=$AF$167,_xlfn.XLOOKUP($J$28,$AG$167:$AG$171,$AH$167:$AH$171,"",0),
$G$28=$AF$173,_xlfn.XLOOKUP($J$28,$AG$173:$AG$177,$AH$173:$AH$177,"",0),
$G$28=$AF$180,_xlfn.XLOOKUP($J$28,$AG$180:$AG$184,$AH$180:$AH$184,"",0),
$G$28=$AF$186,_xlfn.XLOOKUP($J$28,$AG$186:$AG$190,$AH$186:$AH$190,"",0),
$G$28="","โปรดระบุเกณฑ์ความสามารถ"
)</f>
        <v/>
      </c>
      <c r="N28" s="171"/>
      <c r="O28" s="172"/>
      <c r="P28" s="3"/>
      <c r="T28" s="82" t="s">
        <v>10</v>
      </c>
      <c r="U28" s="80">
        <v>3</v>
      </c>
      <c r="V28" s="80">
        <f>$I$16</f>
        <v>2</v>
      </c>
      <c r="W28" s="83">
        <f>$J$16</f>
        <v>0</v>
      </c>
      <c r="X28" s="78">
        <f>IF($J$16&lt;$I$16,1,IF($J$16=$I$16,2,3))</f>
        <v>1</v>
      </c>
      <c r="Y28" s="91"/>
      <c r="Z28" s="85"/>
      <c r="AA28" s="243"/>
      <c r="AB28" s="243"/>
      <c r="AC28" s="243"/>
      <c r="AD28" s="226"/>
    </row>
    <row r="29" spans="1:30" ht="34.9" customHeight="1" x14ac:dyDescent="0.5">
      <c r="A29" s="228"/>
      <c r="B29" s="231"/>
      <c r="C29" s="241" t="s">
        <v>61</v>
      </c>
      <c r="D29" s="241"/>
      <c r="E29" s="241"/>
      <c r="F29" s="242"/>
      <c r="G29" s="234"/>
      <c r="H29" s="234"/>
      <c r="I29" s="237"/>
      <c r="J29" s="188"/>
      <c r="K29" s="170"/>
      <c r="L29" s="175" t="s">
        <v>62</v>
      </c>
      <c r="M29" s="178"/>
      <c r="N29" s="178"/>
      <c r="O29" s="179"/>
      <c r="P29" s="3"/>
      <c r="T29" s="82" t="s">
        <v>13</v>
      </c>
      <c r="U29" s="80">
        <v>4</v>
      </c>
      <c r="V29" s="80">
        <f>$I$20</f>
        <v>2</v>
      </c>
      <c r="W29" s="83">
        <f>$J$20</f>
        <v>0</v>
      </c>
      <c r="X29" s="78">
        <f>IF($J$20&lt;$I$20,1,IF($J$20=$I$20,2,3))</f>
        <v>1</v>
      </c>
      <c r="Y29" s="91"/>
      <c r="Z29" s="85"/>
      <c r="AA29" s="243"/>
      <c r="AB29" s="243"/>
      <c r="AC29" s="243"/>
      <c r="AD29" s="226"/>
    </row>
    <row r="30" spans="1:30" ht="34.9" customHeight="1" x14ac:dyDescent="0.5">
      <c r="A30" s="228"/>
      <c r="B30" s="231"/>
      <c r="C30" s="191" t="str" cm="1">
        <f t="array" ref="C30">_xlfn.IFS(
$G$28=$AF$78,_xlfn.XLOOKUP($I$28,$AG$78:$AG$82,$AH$78:$AH$82,"",0),
$G$28=$AF$84,_xlfn.XLOOKUP($I$28,$AG$84:$AG$88,$AH$84:$AH$88,"",0),
$G$28=$AF$90,_xlfn.XLOOKUP($I$28,$AG$90:$AG$94,$AH$90:$AH$94,"",0),
$G$28=$AF$96,_xlfn.XLOOKUP($I$28,$AG$96:$AG$100,$AH$96:$AH$100,"",0),
$G$28=$AF$102,_xlfn.XLOOKUP($I$28,$AG$102:$AG$106,$AH$102:$AH$106,"",0),
$G$28=$AF$108,_xlfn.XLOOKUP($I$28,$AG$108:$AG$112,$AH$108:$AH$112,"",0),
$G$28=$AF$114,_xlfn.XLOOKUP($I$28,$AG$114:$AG$118,$AH$114:$AH$118,"",0),
$G$28=$AF$120,_xlfn.XLOOKUP($I$28,$AG$120:$AG$124,$AH$120:$AH$124,"",0),
$G$28=$AF$126,_xlfn.XLOOKUP($I$28,$AG$126:$AG$130,$AH$126:$AH$130,"",0),
$G$28=$AF$132,_xlfn.XLOOKUP($I$28,$AG$132:$AG$136,$AH$132:$AH$136,"",0),
$G$28=$AF$138,_xlfn.XLOOKUP($I$28,$AG$138:$AG$142,$AH$138:$AH$142,"",0),
$G$28=$AF$144,_xlfn.XLOOKUP($I$28,$AG$144:$AG$148,$AH$144:$AH$148,"",0),
$G$28=$AF$149,_xlfn.XLOOKUP($I$28,$AG$149:$AG$153,$AH$149:$AH$153,"",0),
$G$28=$AF$155,_xlfn.XLOOKUP($I$28,$AG$155:$AG$159,$AH$155:$AH$159,"",0),
$G$28=$AF$161,_xlfn.XLOOKUP($I$28,$AG$161:$AG$165,$AH$161:$AH$165,"",0),
$G$28=$AF$167,_xlfn.XLOOKUP($I$28,$AG$167:$AG$171,$AH$167:$AH$171,"",0),
$G$28=$AF$173,_xlfn.XLOOKUP($I$28,$AG$173:$AG$177,$AH$173:$AH$177,"",0),
$G$28=$AF$180,_xlfn.XLOOKUP($I$28,$AG$180:$AG$184,$AH$180:$AH$184,"",0),
$G$28=$AF$186,_xlfn.XLOOKUP($I$28,$AG$186:$AG$190,$AH$186:$AH$190,"",0),
$G$28="","โปรดระบุเกณฑ์ความสามารถ"
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30" s="191"/>
      <c r="E30" s="191"/>
      <c r="F30" s="192"/>
      <c r="G30" s="235"/>
      <c r="H30" s="235"/>
      <c r="I30" s="237"/>
      <c r="J30" s="188"/>
      <c r="K30" s="170"/>
      <c r="L30" s="176"/>
      <c r="M30" s="178"/>
      <c r="N30" s="178"/>
      <c r="O30" s="179"/>
      <c r="P30" s="3"/>
      <c r="T30" s="82" t="s">
        <v>13</v>
      </c>
      <c r="U30" s="80">
        <v>5</v>
      </c>
      <c r="V30" s="80">
        <f>$I$24</f>
        <v>2</v>
      </c>
      <c r="W30" s="83">
        <f>$J$24</f>
        <v>0</v>
      </c>
      <c r="X30" s="78">
        <f>IF($J$24&lt;$I$24,1,IF($J$24=$I$24,2,3))</f>
        <v>1</v>
      </c>
      <c r="Y30" s="91"/>
      <c r="Z30" s="85"/>
      <c r="AA30" s="243"/>
      <c r="AB30" s="243"/>
      <c r="AC30" s="243"/>
      <c r="AD30" s="226"/>
    </row>
    <row r="31" spans="1:30" ht="34.9" customHeight="1" x14ac:dyDescent="0.5">
      <c r="A31" s="228"/>
      <c r="B31" s="231"/>
      <c r="C31" s="193"/>
      <c r="D31" s="193"/>
      <c r="E31" s="193"/>
      <c r="F31" s="194"/>
      <c r="G31" s="234"/>
      <c r="H31" s="234"/>
      <c r="I31" s="238"/>
      <c r="J31" s="188"/>
      <c r="K31" s="170"/>
      <c r="L31" s="177"/>
      <c r="M31" s="186"/>
      <c r="N31" s="186"/>
      <c r="O31" s="187"/>
      <c r="P31" s="3"/>
      <c r="T31" s="82" t="s">
        <v>16</v>
      </c>
      <c r="U31" s="80">
        <v>6</v>
      </c>
      <c r="V31" s="80">
        <f>$I$28</f>
        <v>2</v>
      </c>
      <c r="W31" s="83">
        <f>$J$28</f>
        <v>0</v>
      </c>
      <c r="X31" s="78">
        <f>IF($J$28&lt;$I$28,1,IF($J$28=$I$28,2,3))</f>
        <v>1</v>
      </c>
      <c r="Y31" s="91"/>
      <c r="Z31" s="85"/>
      <c r="AA31" s="243"/>
      <c r="AB31" s="243"/>
      <c r="AC31" s="243"/>
      <c r="AD31" s="226"/>
    </row>
    <row r="32" spans="1:30" ht="40.15" customHeight="1" x14ac:dyDescent="0.5">
      <c r="A32" s="228"/>
      <c r="B32" s="230">
        <v>7</v>
      </c>
      <c r="C32" s="232" t="str">
        <f>IF(ISBLANK($G$32),"โปรดเลือกสมรรถนะที่ต้องการประเมิน",$G$32)</f>
        <v>ความกระตือรือร้น &amp; ทัศนคติเชิงบวก
 (Proactive &amp; Growth Mindset)</v>
      </c>
      <c r="D32" s="232"/>
      <c r="E32" s="232"/>
      <c r="F32" s="233"/>
      <c r="G32" s="234" t="s">
        <v>85</v>
      </c>
      <c r="H32" s="234"/>
      <c r="I32" s="236">
        <v>2</v>
      </c>
      <c r="J32" s="188"/>
      <c r="K32" s="170" t="str">
        <f>IF($J$32="","ระบุคะแนน",IF($J$32&lt;$I$32,"Below",IF($J$32=$I$32,"Meet","Exceed")))</f>
        <v>ระบุคะแนน</v>
      </c>
      <c r="L32" s="66" t="s">
        <v>57</v>
      </c>
      <c r="M32" s="171" t="str" cm="1">
        <f t="array" ref="M32">_xlfn.IFS(
$G$32=$AF$78,_xlfn.XLOOKUP($J$32,$AG$78:$AG$82,$AH$78:$AH$82,"",0),
$G$32=$AF$84,_xlfn.XLOOKUP($J$32,$AG$84:$AG$88,$AH$84:$AH$88,"",0),
$G$32=$AF$90,_xlfn.XLOOKUP($J$32,$AG$90:$AG$94,$AH$90:$AH$94,"",0),
$G$32=$AF$96,_xlfn.XLOOKUP($J$32,$AG$96:$AG$100,$AH$96:$AH$100,"",0),
$G$32=$AF$102,_xlfn.XLOOKUP($J$32,$AG$102:$AG$106,$AH$102:$AH$106,"",0),
$G$32=$AF$108,_xlfn.XLOOKUP($J$32,$AG$108:$AG$112,$AH$108:$AH$112,"",0),
$G$32=$AF$114,_xlfn.XLOOKUP($J$32,$AG$114:$AG$118,$AH$114:$AH$118,"",0),
$G$32=$AF$120,_xlfn.XLOOKUP($J$32,$AG$120:$AG$124,$AH$120:$AH$124,"",0),
$G$32=$AF$126,_xlfn.XLOOKUP($J$32,$AG$126:$AG$130,$AH$126:$AH$130,"",0),
$G$32=$AF$132,_xlfn.XLOOKUP($J$32,$AG$132:$AG$136,$AH$132:$AH$136,"",0),
$G$32=$AF$138,_xlfn.XLOOKUP($J$32,$AG$138:$AG$142,$AH$138:$AH$142,"",0),
$G$32=$AF$144,_xlfn.XLOOKUP($J$32,$AG$144:$AG$148,$AH$144:$AH$148,"",0),
$G$32=$AF$149,_xlfn.XLOOKUP($J$32,$AG$149:$AG$153,$AH$149:$AH$153,"",0),
$G$32=$AF$155,_xlfn.XLOOKUP($J$32,$AG$155:$AG$159,$AH$155:$AH$159,"",0),
$G$32=$AF$161,_xlfn.XLOOKUP($J$32,$AG$161:$AG$165,$AH$161:$AH$165,"",0),
$G$32=$AF$167,_xlfn.XLOOKUP($J$32,$AG$167:$AG$171,$AH$167:$AH$171,"",0),
$G$32=$AF$173,_xlfn.XLOOKUP($J$32,$AG$173:$AG$177,$AH$173:$AH$177,"",0),
$G$32=$AF$180,_xlfn.XLOOKUP($J$32,$AG$180:$AG$184,$AH$180:$AH$184,"",0),
$G$32=$AF$186,_xlfn.XLOOKUP($J$32,$AG$186:$AG$190,$AH$186:$AH$190,"",0),
$G$32="","โปรดระบุเกณฑ์ความสามารถ"
)</f>
        <v/>
      </c>
      <c r="N32" s="171"/>
      <c r="O32" s="172"/>
      <c r="P32" s="3"/>
      <c r="T32" s="82" t="s">
        <v>16</v>
      </c>
      <c r="U32" s="80">
        <v>7</v>
      </c>
      <c r="V32" s="80">
        <f>$I$32</f>
        <v>2</v>
      </c>
      <c r="W32" s="83">
        <f>$J$32</f>
        <v>0</v>
      </c>
      <c r="X32" s="78">
        <f>IF($J$32&lt;$I$32,1,IF($J$32=$I$32,2,3))</f>
        <v>1</v>
      </c>
      <c r="Y32" s="91"/>
      <c r="Z32" s="85"/>
      <c r="AA32" s="243"/>
      <c r="AB32" s="243"/>
      <c r="AC32" s="243"/>
      <c r="AD32" s="226"/>
    </row>
    <row r="33" spans="1:30" ht="34.9" customHeight="1" x14ac:dyDescent="0.5">
      <c r="A33" s="228"/>
      <c r="B33" s="231"/>
      <c r="C33" s="173" t="s">
        <v>61</v>
      </c>
      <c r="D33" s="173"/>
      <c r="E33" s="173"/>
      <c r="F33" s="174"/>
      <c r="G33" s="234"/>
      <c r="H33" s="234"/>
      <c r="I33" s="237"/>
      <c r="J33" s="188"/>
      <c r="K33" s="170"/>
      <c r="L33" s="175" t="s">
        <v>62</v>
      </c>
      <c r="M33" s="178"/>
      <c r="N33" s="178"/>
      <c r="O33" s="179"/>
      <c r="P33" s="3"/>
      <c r="T33" s="82" t="s">
        <v>97</v>
      </c>
      <c r="U33" s="80"/>
      <c r="V33" s="80">
        <f>SUM($V$26:$V$32)</f>
        <v>14</v>
      </c>
      <c r="W33" s="80">
        <f>SUM($W$26:$W$32)</f>
        <v>0</v>
      </c>
      <c r="X33" s="78">
        <f>SUM($X$26:$X$32)</f>
        <v>7</v>
      </c>
      <c r="Y33" s="91"/>
      <c r="Z33" s="86"/>
      <c r="AA33" s="243"/>
      <c r="AB33" s="243"/>
      <c r="AC33" s="243"/>
      <c r="AD33" s="226"/>
    </row>
    <row r="34" spans="1:30" ht="34.9" customHeight="1" x14ac:dyDescent="0.5">
      <c r="A34" s="229"/>
      <c r="B34" s="231"/>
      <c r="C34" s="191" t="str" cm="1">
        <f t="array" ref="C34">_xlfn.IFS(
$G$32=$AF$78,_xlfn.XLOOKUP($I$32,$AG$78:$AG$82,$AH$78:$AH$82,"",0),
$G$32=$AF$84,_xlfn.XLOOKUP($I$32,$AG$84:$AG$88,$AH$84:$AH$88,"",0),
$G$32=$AF$90,_xlfn.XLOOKUP($I$32,$AG$90:$AG$94,$AH$90:$AH$94,"",0),
$G$32=$AF$96,_xlfn.XLOOKUP($I$32,$AG$96:$AG$100,$AH$96:$AH$100,"",0),
$G$32=$AF$102,_xlfn.XLOOKUP($I$32,$AG$102:$AG$106,$AH$102:$AH$106,"",0),
$G$32=$AF$108,_xlfn.XLOOKUP($I$32,$AG$108:$AG$112,$AH$108:$AH$112,"",0),
$G$32=$AF$114,_xlfn.XLOOKUP($I$32,$AG$114:$AG$118,$AH$114:$AH$118,"",0),
$G$32=$AF$120,_xlfn.XLOOKUP($I$32,$AG$120:$AG$124,$AH$120:$AH$124,"",0),
$G$32=$AF$126,_xlfn.XLOOKUP($I$32,$AG$126:$AG$130,$AH$126:$AH$130,"",0),
$G$32=$AF$132,_xlfn.XLOOKUP($I$32,$AG$132:$AG$136,$AH$132:$AH$136,"",0),
$G$32=$AF$138,_xlfn.XLOOKUP($I$32,$AG$138:$AG$142,$AH$138:$AH$142,"",0),
$G$32=$AF$144,_xlfn.XLOOKUP($I$32,$AG$144:$AG$148,$AH$144:$AH$148,"",0),
$G$32=$AF$149,_xlfn.XLOOKUP($I$32,$AG$149:$AG$153,$AH$149:$AH$153,"",0),
$G$32=$AF$155,_xlfn.XLOOKUP($I$32,$AG$155:$AG$159,$AH$155:$AH$159,"",0),
$G$32=$AF$161,_xlfn.XLOOKUP($I$32,$AG$161:$AG$165,$AH$161:$AH$165,"",0),
$G$32=$AF$167,_xlfn.XLOOKUP($I$32,$AG$167:$AG$171,$AH$167:$AH$171,"",0),
$G$32=$AF$173,_xlfn.XLOOKUP($I$32,$AG$173:$AG$177,$AH$173:$AH$177,"",0),
$G$32=$AF$180,_xlfn.XLOOKUP($I$32,$AG$180:$AG$184,$AH$180:$AH$184,"",0),
$G$32=$AF$186,_xlfn.XLOOKUP($I$32,$AG$186:$AG$190,$AH$186:$AH$190,"",0),
$G$32="","โปรดระบุเกณฑ์ความสามารถ"
)</f>
        <v>กระตือรือร้นเฉพาะในช่วงใกล้ส่งงาน/ เฉพาะช่วงที่จำเป็น</v>
      </c>
      <c r="D34" s="191"/>
      <c r="E34" s="191"/>
      <c r="F34" s="192"/>
      <c r="G34" s="235"/>
      <c r="H34" s="235"/>
      <c r="I34" s="237"/>
      <c r="J34" s="188"/>
      <c r="K34" s="170"/>
      <c r="L34" s="176"/>
      <c r="M34" s="178"/>
      <c r="N34" s="178"/>
      <c r="O34" s="179"/>
      <c r="P34" s="3"/>
      <c r="T34" s="81"/>
      <c r="U34" s="81"/>
      <c r="V34" s="81"/>
      <c r="W34" s="88"/>
      <c r="X34" s="88"/>
      <c r="Y34" s="88"/>
      <c r="Z34" s="88"/>
      <c r="AA34" s="88"/>
      <c r="AB34" s="88"/>
      <c r="AC34" s="88"/>
    </row>
    <row r="35" spans="1:30" ht="34.9" customHeight="1" x14ac:dyDescent="0.25">
      <c r="A35" s="228"/>
      <c r="B35" s="261"/>
      <c r="C35" s="193"/>
      <c r="D35" s="193"/>
      <c r="E35" s="193"/>
      <c r="F35" s="194"/>
      <c r="G35" s="234"/>
      <c r="H35" s="234"/>
      <c r="I35" s="238"/>
      <c r="J35" s="188"/>
      <c r="K35" s="170"/>
      <c r="L35" s="177"/>
      <c r="M35" s="186"/>
      <c r="N35" s="186"/>
      <c r="O35" s="187"/>
      <c r="P35" s="3"/>
      <c r="T35" s="83" t="s">
        <v>98</v>
      </c>
      <c r="U35" s="91" t="s">
        <v>99</v>
      </c>
      <c r="V35" s="83" t="s">
        <v>100</v>
      </c>
      <c r="W35" s="83" t="s">
        <v>101</v>
      </c>
      <c r="X35" s="83" t="s">
        <v>102</v>
      </c>
      <c r="Y35" s="89"/>
      <c r="Z35" s="89"/>
      <c r="AA35" s="89"/>
      <c r="AB35" s="89"/>
      <c r="AC35" s="89"/>
    </row>
    <row r="36" spans="1:30" ht="34.9" customHeight="1" x14ac:dyDescent="0.25">
      <c r="A36" s="258"/>
      <c r="B36" s="259"/>
      <c r="C36" s="259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60"/>
      <c r="P36" s="3"/>
      <c r="T36" s="83">
        <f>COUNTIFS($K$20:$K$27,"Below")</f>
        <v>0</v>
      </c>
      <c r="U36" s="91">
        <f>COUNTIF($K$8:$K$19,"Below")</f>
        <v>0</v>
      </c>
      <c r="V36" s="63">
        <f>COUNTIFS($K$28:$K$35,"Below")</f>
        <v>0</v>
      </c>
      <c r="W36" s="83" t="s">
        <v>103</v>
      </c>
      <c r="X36" s="83" t="s">
        <v>103</v>
      </c>
      <c r="Y36" s="92"/>
      <c r="Z36" s="92"/>
      <c r="AA36" s="243"/>
      <c r="AB36" s="243"/>
      <c r="AC36" s="226"/>
    </row>
    <row r="37" spans="1:30" ht="34.9" customHeight="1" x14ac:dyDescent="0.7">
      <c r="A37" s="143" t="s">
        <v>104</v>
      </c>
      <c r="B37" s="18"/>
      <c r="C37" s="8"/>
      <c r="D37" s="8"/>
      <c r="E37" s="8"/>
      <c r="F37" s="9"/>
      <c r="G37" s="10"/>
      <c r="H37" s="8"/>
      <c r="I37" s="8"/>
      <c r="J37" s="18" t="s">
        <v>105</v>
      </c>
      <c r="K37" s="8"/>
      <c r="L37" s="2"/>
      <c r="M37" s="2"/>
      <c r="N37" s="2"/>
      <c r="O37" s="45"/>
      <c r="P37" s="3"/>
      <c r="T37" s="83">
        <f>COUNTIF($K$20:$K$27,"Meet")</f>
        <v>0</v>
      </c>
      <c r="U37" s="91">
        <f>COUNTIF($K$8:$K$19,"Meet")</f>
        <v>0</v>
      </c>
      <c r="V37" s="63">
        <f>COUNTIFS($K$28:$K$35,"Meet")</f>
        <v>0</v>
      </c>
      <c r="W37" s="80">
        <f>SUM($I$8:$I$19)</f>
        <v>6</v>
      </c>
      <c r="X37" s="80">
        <f>SUM($J$8:$J$19)</f>
        <v>0</v>
      </c>
      <c r="Y37" s="92"/>
      <c r="Z37" s="92"/>
      <c r="AA37" s="243"/>
      <c r="AB37" s="243"/>
      <c r="AC37" s="226"/>
    </row>
    <row r="38" spans="1:30" ht="34.9" customHeight="1" x14ac:dyDescent="0.25">
      <c r="A38" s="245"/>
      <c r="B38" s="246"/>
      <c r="C38" s="246"/>
      <c r="D38" s="246"/>
      <c r="E38" s="246"/>
      <c r="F38" s="246"/>
      <c r="G38" s="246"/>
      <c r="H38" s="8"/>
      <c r="I38" s="8"/>
      <c r="J38" s="246"/>
      <c r="K38" s="246"/>
      <c r="L38" s="246"/>
      <c r="M38" s="246"/>
      <c r="N38" s="246"/>
      <c r="O38" s="249"/>
      <c r="P38" s="3"/>
      <c r="T38" s="83">
        <f>COUNTIF($K$20:$K$27,"Exceed")</f>
        <v>0</v>
      </c>
      <c r="U38" s="91">
        <f>COUNTIF($K$8:$K$19,"Exceed")</f>
        <v>0</v>
      </c>
      <c r="V38" s="63">
        <f>COUNTIFS($K$28:$K$35,"Exceed")</f>
        <v>0</v>
      </c>
      <c r="W38" s="83" t="s">
        <v>106</v>
      </c>
      <c r="X38" s="83" t="s">
        <v>106</v>
      </c>
      <c r="Y38" s="92"/>
      <c r="Z38" s="92"/>
      <c r="AA38" s="243"/>
      <c r="AB38" s="243"/>
      <c r="AC38" s="226"/>
    </row>
    <row r="39" spans="1:30" ht="34.9" customHeight="1" x14ac:dyDescent="0.5">
      <c r="A39" s="247"/>
      <c r="B39" s="248"/>
      <c r="C39" s="248"/>
      <c r="D39" s="248"/>
      <c r="E39" s="248"/>
      <c r="F39" s="248"/>
      <c r="G39" s="248"/>
      <c r="H39" s="8"/>
      <c r="I39" s="8"/>
      <c r="J39" s="248"/>
      <c r="K39" s="248"/>
      <c r="L39" s="248"/>
      <c r="M39" s="248"/>
      <c r="N39" s="248"/>
      <c r="O39" s="250"/>
      <c r="P39" s="3"/>
      <c r="T39" s="90"/>
      <c r="U39" s="92"/>
      <c r="W39" s="80">
        <f>SUM($I$20:$I$27)</f>
        <v>4</v>
      </c>
      <c r="X39" s="80">
        <f>SUM($J$20:$J$27)</f>
        <v>0</v>
      </c>
      <c r="Y39" s="92"/>
      <c r="Z39" s="92"/>
      <c r="AA39" s="243"/>
      <c r="AB39" s="243"/>
      <c r="AC39" s="226"/>
    </row>
    <row r="40" spans="1:30" ht="34.9" customHeight="1" x14ac:dyDescent="0.5">
      <c r="A40" s="144"/>
      <c r="B40" s="32"/>
      <c r="C40" s="14"/>
      <c r="D40" s="14"/>
      <c r="E40" s="14"/>
      <c r="F40" s="14"/>
      <c r="G40" s="14"/>
      <c r="H40" s="14"/>
      <c r="I40" s="14"/>
      <c r="J40" s="14"/>
      <c r="K40" s="15"/>
      <c r="L40" s="16"/>
      <c r="M40" s="16"/>
      <c r="N40" s="16"/>
      <c r="O40" s="153"/>
      <c r="P40" s="3"/>
      <c r="T40" s="90"/>
      <c r="U40" s="92"/>
      <c r="W40" s="83" t="s">
        <v>107</v>
      </c>
      <c r="X40" s="83" t="s">
        <v>107</v>
      </c>
      <c r="Y40" s="92"/>
      <c r="Z40" s="92"/>
      <c r="AA40" s="243"/>
      <c r="AB40" s="243"/>
      <c r="AC40" s="226"/>
    </row>
    <row r="41" spans="1:30" ht="34.9" customHeight="1" x14ac:dyDescent="0.5">
      <c r="A41" s="145"/>
      <c r="B41" s="13"/>
      <c r="C41" s="13"/>
      <c r="D41" s="13"/>
      <c r="E41" s="13"/>
      <c r="F41" s="13"/>
      <c r="G41" s="13"/>
      <c r="H41" s="13"/>
      <c r="I41" s="13"/>
      <c r="J41" s="13"/>
      <c r="K41" s="8"/>
      <c r="L41" s="2"/>
      <c r="M41" s="2"/>
      <c r="N41" s="2"/>
      <c r="O41" s="45"/>
      <c r="P41" s="3"/>
      <c r="T41" s="90"/>
      <c r="U41" s="92"/>
      <c r="W41" s="80">
        <f>SUM($I$28:$I$35)</f>
        <v>4</v>
      </c>
      <c r="X41" s="80">
        <f>SUM($J$28:$J$35)</f>
        <v>0</v>
      </c>
      <c r="Y41" s="92"/>
      <c r="Z41" s="92"/>
      <c r="AA41" s="243"/>
      <c r="AB41" s="243"/>
      <c r="AC41" s="226"/>
    </row>
    <row r="42" spans="1:30" ht="34.9" customHeight="1" x14ac:dyDescent="0.7">
      <c r="A42" s="251" t="s">
        <v>108</v>
      </c>
      <c r="B42" s="252"/>
      <c r="C42" s="252"/>
      <c r="D42" s="252"/>
      <c r="E42" s="252"/>
      <c r="F42" s="252"/>
      <c r="G42" s="2"/>
      <c r="H42" s="2"/>
      <c r="I42" s="2"/>
      <c r="J42" s="2"/>
      <c r="K42" s="2"/>
      <c r="L42" s="2"/>
      <c r="M42" s="2"/>
      <c r="N42" s="2"/>
      <c r="O42" s="45"/>
      <c r="P42" s="3"/>
      <c r="T42" s="90"/>
      <c r="U42" s="92"/>
      <c r="V42" s="92"/>
      <c r="W42" s="92"/>
      <c r="X42" s="92"/>
      <c r="Y42" s="92"/>
      <c r="Z42" s="92"/>
      <c r="AA42" s="243"/>
      <c r="AB42" s="243"/>
      <c r="AC42" s="226"/>
    </row>
    <row r="43" spans="1:30" ht="34.9" customHeight="1" x14ac:dyDescent="0.5">
      <c r="A43" s="253"/>
      <c r="B43" s="253"/>
      <c r="C43" s="253"/>
      <c r="D43" s="253"/>
      <c r="E43" s="253"/>
      <c r="F43" s="253"/>
      <c r="G43" s="253"/>
      <c r="H43" s="253"/>
      <c r="I43" s="253"/>
      <c r="J43" s="253"/>
      <c r="K43" s="253"/>
      <c r="L43" s="253"/>
      <c r="M43" s="253"/>
      <c r="N43" s="253"/>
      <c r="O43" s="253"/>
      <c r="P43" s="3"/>
      <c r="T43" s="90"/>
      <c r="U43" s="92"/>
      <c r="V43" s="92"/>
      <c r="W43" s="83" t="s">
        <v>197</v>
      </c>
      <c r="X43" s="83" t="s">
        <v>198</v>
      </c>
      <c r="Y43" s="92"/>
      <c r="Z43" s="92"/>
      <c r="AA43" s="243"/>
      <c r="AB43" s="243"/>
      <c r="AC43" s="226"/>
    </row>
    <row r="44" spans="1:30" ht="34.9" customHeight="1" x14ac:dyDescent="0.5">
      <c r="A44" s="253"/>
      <c r="B44" s="253"/>
      <c r="C44" s="253"/>
      <c r="D44" s="253"/>
      <c r="E44" s="253"/>
      <c r="F44" s="253"/>
      <c r="G44" s="253"/>
      <c r="H44" s="253"/>
      <c r="I44" s="253"/>
      <c r="J44" s="253"/>
      <c r="K44" s="253"/>
      <c r="L44" s="253"/>
      <c r="M44" s="253"/>
      <c r="N44" s="253"/>
      <c r="O44" s="253"/>
      <c r="P44" s="3"/>
      <c r="T44" s="81"/>
      <c r="U44" s="81"/>
      <c r="V44" s="81"/>
      <c r="W44" s="117"/>
      <c r="X44" s="118">
        <v>1</v>
      </c>
      <c r="Y44" s="81"/>
    </row>
    <row r="45" spans="1:30" ht="34.9" customHeight="1" x14ac:dyDescent="0.5">
      <c r="A45" s="253"/>
      <c r="B45" s="253"/>
      <c r="C45" s="253"/>
      <c r="D45" s="253"/>
      <c r="E45" s="253"/>
      <c r="F45" s="253"/>
      <c r="G45" s="253"/>
      <c r="H45" s="253"/>
      <c r="I45" s="253"/>
      <c r="J45" s="253"/>
      <c r="K45" s="253"/>
      <c r="L45" s="253"/>
      <c r="M45" s="253"/>
      <c r="N45" s="253"/>
      <c r="O45" s="253"/>
      <c r="P45" s="3"/>
      <c r="T45" s="81"/>
      <c r="U45" s="81"/>
      <c r="V45" s="81"/>
      <c r="W45" s="83" t="s">
        <v>199</v>
      </c>
      <c r="X45" s="118">
        <v>2</v>
      </c>
      <c r="Y45" s="81"/>
    </row>
    <row r="46" spans="1:30" ht="34.9" customHeight="1" x14ac:dyDescent="0.5">
      <c r="A46" s="253"/>
      <c r="B46" s="253"/>
      <c r="C46" s="253"/>
      <c r="D46" s="253"/>
      <c r="E46" s="253"/>
      <c r="F46" s="253"/>
      <c r="G46" s="253"/>
      <c r="H46" s="253"/>
      <c r="I46" s="253"/>
      <c r="J46" s="253"/>
      <c r="K46" s="253"/>
      <c r="L46" s="253"/>
      <c r="M46" s="253"/>
      <c r="N46" s="253"/>
      <c r="O46" s="253"/>
      <c r="P46" s="3"/>
      <c r="W46" s="63"/>
      <c r="X46" s="118">
        <v>3</v>
      </c>
    </row>
    <row r="47" spans="1:30" ht="34.9" customHeight="1" x14ac:dyDescent="0.5">
      <c r="A47" s="253"/>
      <c r="B47" s="253"/>
      <c r="C47" s="253"/>
      <c r="D47" s="253"/>
      <c r="E47" s="253"/>
      <c r="F47" s="253"/>
      <c r="G47" s="253"/>
      <c r="H47" s="253"/>
      <c r="I47" s="253"/>
      <c r="J47" s="253"/>
      <c r="K47" s="253"/>
      <c r="L47" s="253"/>
      <c r="M47" s="253"/>
      <c r="N47" s="253"/>
      <c r="O47" s="253"/>
      <c r="P47" s="3"/>
      <c r="W47" s="63" t="str">
        <f>"Meet"&amp;_xlfn.UNICHAR(8315)</f>
        <v>Meet⁻</v>
      </c>
      <c r="X47" s="118">
        <v>4</v>
      </c>
    </row>
    <row r="48" spans="1:30" ht="34.9" customHeight="1" x14ac:dyDescent="0.5">
      <c r="A48" s="4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45"/>
      <c r="P48" s="3"/>
      <c r="W48" s="63"/>
      <c r="X48" s="118">
        <v>5</v>
      </c>
    </row>
    <row r="49" spans="1:24" ht="34.9" customHeight="1" x14ac:dyDescent="0.7">
      <c r="A49" s="197" t="s">
        <v>109</v>
      </c>
      <c r="B49" s="198"/>
      <c r="C49" s="198"/>
      <c r="D49" s="198"/>
      <c r="E49" s="198"/>
      <c r="F49" s="198"/>
      <c r="G49" s="2"/>
      <c r="H49" s="2"/>
      <c r="I49" s="2"/>
      <c r="J49" s="2"/>
      <c r="K49" s="2"/>
      <c r="L49" s="2"/>
      <c r="M49" s="2"/>
      <c r="N49" s="2"/>
      <c r="O49" s="45"/>
      <c r="P49" s="3"/>
      <c r="W49" s="63" t="s">
        <v>200</v>
      </c>
      <c r="X49" s="118">
        <v>6</v>
      </c>
    </row>
    <row r="50" spans="1:24" ht="34.9" customHeight="1" x14ac:dyDescent="0.7">
      <c r="A50" s="199" t="s">
        <v>110</v>
      </c>
      <c r="B50" s="200"/>
      <c r="C50" s="200"/>
      <c r="D50" s="108" t="s">
        <v>111</v>
      </c>
      <c r="E50" s="106" t="s">
        <v>112</v>
      </c>
      <c r="F50" s="106" t="s">
        <v>201</v>
      </c>
      <c r="G50" s="54"/>
      <c r="H50" s="156" t="b">
        <v>0</v>
      </c>
      <c r="I50" s="19" t="s">
        <v>114</v>
      </c>
      <c r="J50" s="3"/>
      <c r="K50" s="157" t="e">
        <f>IF(AND($H$50=TRUE,OR($F$53="Below",$F$51="Below",$F$55="Below",AND($F$53="Meet"&amp;_xlfn.UNICHAR(8315),$F$55="Meet"&amp;_xlfn.UNICHAR(8315)))),"โปรดระบุเหตุผล (Passed with condition):",IF($H$50=FALSE,"","คุณสมบัติเหมาะสมกับตำแหน่ง"))</f>
        <v>#N/A</v>
      </c>
      <c r="L50" s="158"/>
      <c r="M50" s="158"/>
      <c r="N50" s="159"/>
      <c r="O50" s="160"/>
      <c r="P50" s="3"/>
      <c r="W50" s="63"/>
      <c r="X50" s="118">
        <v>7</v>
      </c>
    </row>
    <row r="51" spans="1:24" ht="34.9" customHeight="1" x14ac:dyDescent="0.7">
      <c r="A51" s="132" t="str">
        <f>"Exceed"&amp;_xlfn.UNICHAR(8314)</f>
        <v>Exceed⁺</v>
      </c>
      <c r="B51" s="254"/>
      <c r="C51" s="255"/>
      <c r="D51" s="119" t="s">
        <v>10</v>
      </c>
      <c r="E51" s="278"/>
      <c r="F51" s="280" t="str">
        <f>IF($U$36&gt;0,"Below",IF($U$38=3,"Exceed"&amp;_xlfn.UNICHAR(8314),IF(AND($U$36=0,$U$38&gt;1),"Exceed",IF(AND($U$37=2,$U$38=1,$U$36=0),"Meet"&amp;_xlfn.UNICHAR(8314),"Meet"))))</f>
        <v>Meet</v>
      </c>
      <c r="G51" s="146"/>
      <c r="H51" s="156" t="b">
        <v>0</v>
      </c>
      <c r="I51" s="19" t="s">
        <v>116</v>
      </c>
      <c r="J51" s="3"/>
      <c r="K51" s="184"/>
      <c r="L51" s="184"/>
      <c r="M51" s="184"/>
      <c r="N51" s="184"/>
      <c r="O51" s="185"/>
      <c r="P51" s="3"/>
      <c r="W51" s="63" t="str">
        <f>"Meet"&amp;_xlfn.UNICHAR(8314)</f>
        <v>Meet⁺</v>
      </c>
      <c r="X51" s="118">
        <v>8</v>
      </c>
    </row>
    <row r="52" spans="1:24" ht="34.9" customHeight="1" x14ac:dyDescent="0.7">
      <c r="A52" s="133" t="s">
        <v>202</v>
      </c>
      <c r="B52" s="256"/>
      <c r="C52" s="257"/>
      <c r="D52" s="116" t="s">
        <v>118</v>
      </c>
      <c r="E52" s="279"/>
      <c r="F52" s="281"/>
      <c r="G52" s="146"/>
      <c r="H52" s="156" t="b">
        <v>0</v>
      </c>
      <c r="I52" s="19" t="s">
        <v>119</v>
      </c>
      <c r="J52" s="3"/>
      <c r="K52" s="184"/>
      <c r="L52" s="184"/>
      <c r="M52" s="184"/>
      <c r="N52" s="184"/>
      <c r="O52" s="185"/>
      <c r="P52" s="3"/>
      <c r="W52" s="63"/>
      <c r="X52" s="118">
        <v>9</v>
      </c>
    </row>
    <row r="53" spans="1:24" ht="34.9" customHeight="1" x14ac:dyDescent="0.5">
      <c r="A53" s="134" t="str">
        <f>"Meet"&amp;_xlfn.UNICHAR(8314)</f>
        <v>Meet⁺</v>
      </c>
      <c r="B53" s="266"/>
      <c r="C53" s="267"/>
      <c r="D53" s="113" t="s">
        <v>13</v>
      </c>
      <c r="E53" s="262"/>
      <c r="F53" s="264" t="e" cm="1">
        <f t="array" ref="F53">_xlfn.IFS($T$36=2,"Below",$T$38&gt;1,"Exceed",$T$37&gt;1,"Meet",AND($T$37=1,$T$38=1),"Meet"&amp;_xlfn.UNICHAR(8314),OR(AND($T$38=1,$T$37=1),$T$36=1),"Meet"&amp;_xlfn.UNICHAR(8315))</f>
        <v>#N/A</v>
      </c>
      <c r="G53" s="147"/>
      <c r="H53" s="148"/>
      <c r="I53" s="107"/>
      <c r="J53" s="3"/>
      <c r="K53" s="184"/>
      <c r="L53" s="184"/>
      <c r="M53" s="184"/>
      <c r="N53" s="184"/>
      <c r="O53" s="185"/>
      <c r="P53" s="3"/>
      <c r="W53" s="63" t="s">
        <v>202</v>
      </c>
      <c r="X53" s="118">
        <v>10</v>
      </c>
    </row>
    <row r="54" spans="1:24" ht="34.9" customHeight="1" x14ac:dyDescent="0.5">
      <c r="A54" s="135" t="s">
        <v>200</v>
      </c>
      <c r="B54" s="268"/>
      <c r="C54" s="269"/>
      <c r="D54" s="116" t="s">
        <v>123</v>
      </c>
      <c r="E54" s="263"/>
      <c r="F54" s="265"/>
      <c r="G54" s="148"/>
      <c r="H54" s="149"/>
      <c r="I54" s="148"/>
      <c r="J54" s="3"/>
      <c r="K54" s="184"/>
      <c r="L54" s="184"/>
      <c r="M54" s="184"/>
      <c r="N54" s="184"/>
      <c r="O54" s="185"/>
      <c r="P54" s="3"/>
      <c r="W54" s="63"/>
      <c r="X54" s="118">
        <v>11</v>
      </c>
    </row>
    <row r="55" spans="1:24" ht="34.9" customHeight="1" x14ac:dyDescent="0.55000000000000004">
      <c r="A55" s="136" t="str">
        <f>"Meet"&amp;_xlfn.UNICHAR(8315)</f>
        <v>Meet⁻</v>
      </c>
      <c r="B55" s="270"/>
      <c r="C55" s="271"/>
      <c r="D55" s="113" t="s">
        <v>16</v>
      </c>
      <c r="E55" s="262"/>
      <c r="F55" s="264" t="e" cm="1">
        <f t="array" ref="F55">_xlfn.IFS($V$36=2,"Below",$V$38&gt;1,"Exceed",$V$37&gt;1,"Meet",AND($V$37=1,$V$38=1),"Meet"&amp;_xlfn.UNICHAR(8314),OR(AND($V$38=1,$V$37=1),$V$36=1),"Meet"&amp;_xlfn.UNICHAR(8315))</f>
        <v>#N/A</v>
      </c>
      <c r="G55" s="148"/>
      <c r="H55" s="150"/>
      <c r="I55" s="3"/>
      <c r="J55" s="3"/>
      <c r="K55" s="184"/>
      <c r="L55" s="184"/>
      <c r="M55" s="184"/>
      <c r="N55" s="184"/>
      <c r="O55" s="185"/>
      <c r="P55" s="3"/>
      <c r="W55" s="63" t="str">
        <f>"Exceed"&amp;_xlfn.UNICHAR(8314)</f>
        <v>Exceed⁺</v>
      </c>
      <c r="X55" s="118">
        <v>12</v>
      </c>
    </row>
    <row r="56" spans="1:24" ht="34.9" customHeight="1" x14ac:dyDescent="0.7">
      <c r="A56" s="137" t="s">
        <v>199</v>
      </c>
      <c r="B56" s="272"/>
      <c r="C56" s="273"/>
      <c r="D56" s="112" t="s">
        <v>127</v>
      </c>
      <c r="E56" s="263"/>
      <c r="F56" s="265"/>
      <c r="G56" s="148"/>
      <c r="H56" s="3"/>
      <c r="J56" s="19"/>
      <c r="K56" s="3"/>
      <c r="L56" s="3"/>
      <c r="M56" s="3"/>
      <c r="N56" s="3"/>
      <c r="O56" s="154"/>
      <c r="P56" s="3"/>
      <c r="W56" s="79"/>
    </row>
    <row r="57" spans="1:24" ht="34.9" customHeight="1" x14ac:dyDescent="0.7">
      <c r="A57" s="274"/>
      <c r="B57" s="275"/>
      <c r="C57" s="275"/>
      <c r="D57" s="54"/>
      <c r="E57" s="54"/>
      <c r="F57" s="54"/>
      <c r="G57" s="2"/>
      <c r="H57" s="155" t="s">
        <v>120</v>
      </c>
      <c r="I57" s="276"/>
      <c r="J57" s="276"/>
      <c r="K57" s="276"/>
      <c r="L57" s="276"/>
      <c r="M57" s="151" t="s">
        <v>128</v>
      </c>
      <c r="N57" s="276"/>
      <c r="O57" s="277"/>
      <c r="P57" s="3"/>
      <c r="W57" s="79"/>
    </row>
    <row r="58" spans="1:24" ht="34.9" customHeight="1" x14ac:dyDescent="0.65">
      <c r="A58" s="152"/>
      <c r="B58" s="54"/>
      <c r="C58" s="54"/>
      <c r="D58" s="54"/>
      <c r="E58" s="54"/>
      <c r="F58" s="54"/>
      <c r="G58" s="2"/>
      <c r="H58" s="3"/>
      <c r="J58" s="2"/>
      <c r="K58" s="3"/>
      <c r="L58" s="99"/>
      <c r="M58" s="3"/>
      <c r="O58" s="45"/>
      <c r="P58" s="3"/>
      <c r="W58" s="79"/>
    </row>
    <row r="59" spans="1:24" ht="34.9" customHeight="1" x14ac:dyDescent="0.7">
      <c r="A59" s="152"/>
      <c r="B59" s="54"/>
      <c r="C59" s="3"/>
      <c r="D59" s="3"/>
      <c r="E59" s="54"/>
      <c r="F59" s="54"/>
      <c r="G59" s="2"/>
      <c r="H59" s="155" t="s">
        <v>203</v>
      </c>
      <c r="I59" s="276"/>
      <c r="J59" s="276"/>
      <c r="K59" s="276"/>
      <c r="L59" s="276"/>
      <c r="M59" s="151" t="s">
        <v>129</v>
      </c>
      <c r="N59" s="276"/>
      <c r="O59" s="277"/>
      <c r="P59" s="3"/>
      <c r="W59" s="79"/>
    </row>
    <row r="60" spans="1:24" ht="34.9" customHeight="1" x14ac:dyDescent="0.7">
      <c r="A60" s="251" t="s">
        <v>130</v>
      </c>
      <c r="B60" s="252"/>
      <c r="C60" s="252"/>
      <c r="D60" s="252"/>
      <c r="E60" s="252"/>
      <c r="F60" s="252"/>
      <c r="G60" s="2"/>
      <c r="H60" s="2"/>
      <c r="I60" s="2"/>
      <c r="J60" s="2"/>
      <c r="K60" s="2"/>
      <c r="L60" s="2"/>
      <c r="M60" s="2"/>
      <c r="N60" s="2"/>
      <c r="O60" s="45"/>
      <c r="P60" s="3"/>
      <c r="W60" s="79"/>
    </row>
    <row r="61" spans="1:24" ht="34.9" customHeight="1" x14ac:dyDescent="0.25">
      <c r="A61" s="253"/>
      <c r="B61" s="253"/>
      <c r="C61" s="253"/>
      <c r="D61" s="253"/>
      <c r="E61" s="253"/>
      <c r="F61" s="253"/>
      <c r="G61" s="253"/>
      <c r="H61" s="253"/>
      <c r="I61" s="253"/>
      <c r="J61" s="253"/>
      <c r="K61" s="253"/>
      <c r="L61" s="253"/>
      <c r="M61" s="253"/>
      <c r="N61" s="253"/>
      <c r="O61" s="253"/>
      <c r="P61" s="3"/>
      <c r="W61" s="79"/>
    </row>
    <row r="62" spans="1:24" ht="34.9" customHeight="1" x14ac:dyDescent="0.25">
      <c r="A62" s="253"/>
      <c r="B62" s="253"/>
      <c r="C62" s="253"/>
      <c r="D62" s="253"/>
      <c r="E62" s="253"/>
      <c r="F62" s="253"/>
      <c r="G62" s="253"/>
      <c r="H62" s="253"/>
      <c r="I62" s="253"/>
      <c r="J62" s="253"/>
      <c r="K62" s="253"/>
      <c r="L62" s="253"/>
      <c r="M62" s="253"/>
      <c r="N62" s="253"/>
      <c r="O62" s="253"/>
      <c r="P62" s="3"/>
      <c r="W62" s="79"/>
    </row>
    <row r="63" spans="1:24" ht="34.9" customHeight="1" x14ac:dyDescent="0.25">
      <c r="A63" s="253"/>
      <c r="B63" s="253"/>
      <c r="C63" s="253"/>
      <c r="D63" s="253"/>
      <c r="E63" s="253"/>
      <c r="F63" s="253"/>
      <c r="G63" s="253"/>
      <c r="H63" s="253"/>
      <c r="I63" s="253"/>
      <c r="J63" s="253"/>
      <c r="K63" s="253"/>
      <c r="L63" s="253"/>
      <c r="M63" s="253"/>
      <c r="N63" s="253"/>
      <c r="O63" s="253"/>
      <c r="P63" s="3"/>
      <c r="W63" s="79"/>
    </row>
    <row r="64" spans="1:24" ht="34.9" customHeight="1" x14ac:dyDescent="0.25">
      <c r="A64" s="253"/>
      <c r="B64" s="253"/>
      <c r="C64" s="253"/>
      <c r="D64" s="253"/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3"/>
      <c r="P64" s="3"/>
    </row>
    <row r="65" spans="1:34" ht="34.9" customHeight="1" x14ac:dyDescent="0.25">
      <c r="A65" s="253"/>
      <c r="B65" s="253"/>
      <c r="C65" s="253"/>
      <c r="D65" s="253"/>
      <c r="E65" s="253"/>
      <c r="F65" s="253"/>
      <c r="G65" s="253"/>
      <c r="H65" s="253"/>
      <c r="I65" s="253"/>
      <c r="J65" s="253"/>
      <c r="K65" s="253"/>
      <c r="L65" s="253"/>
      <c r="M65" s="253"/>
      <c r="N65" s="253"/>
      <c r="O65" s="253"/>
      <c r="P65" s="3"/>
    </row>
    <row r="66" spans="1:34" ht="34.9" customHeight="1" x14ac:dyDescent="0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3"/>
    </row>
    <row r="67" spans="1:34" ht="34.9" customHeight="1" x14ac:dyDescent="0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3"/>
    </row>
    <row r="68" spans="1:34" ht="23.25" x14ac:dyDescent="0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3"/>
    </row>
    <row r="69" spans="1:34" ht="23.25" x14ac:dyDescent="0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3"/>
    </row>
    <row r="70" spans="1:34" ht="23.25" x14ac:dyDescent="0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3"/>
    </row>
    <row r="71" spans="1:34" ht="23.25" x14ac:dyDescent="0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</row>
    <row r="72" spans="1:34" ht="23.25" x14ac:dyDescent="0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3"/>
    </row>
    <row r="73" spans="1:34" ht="23.25" x14ac:dyDescent="0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</row>
    <row r="74" spans="1:34" ht="23.25" x14ac:dyDescent="0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</row>
    <row r="75" spans="1:34" ht="23.25" x14ac:dyDescent="0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3"/>
    </row>
    <row r="76" spans="1:34" ht="23.25" x14ac:dyDescent="0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"/>
    </row>
    <row r="77" spans="1:34" ht="23.25" x14ac:dyDescent="0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3"/>
      <c r="AA77" s="128" t="s">
        <v>204</v>
      </c>
      <c r="AB77" s="128" t="s">
        <v>205</v>
      </c>
      <c r="AC77" s="128" t="s">
        <v>206</v>
      </c>
      <c r="AD77" s="127" t="s">
        <v>207</v>
      </c>
      <c r="AF77" s="63" t="s">
        <v>10</v>
      </c>
      <c r="AG77" s="63" t="s">
        <v>19</v>
      </c>
      <c r="AH77" s="63" t="s">
        <v>131</v>
      </c>
    </row>
    <row r="78" spans="1:34" ht="40.15" customHeight="1" x14ac:dyDescent="0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3"/>
      <c r="AA78" s="122" t="s">
        <v>21</v>
      </c>
      <c r="AB78" s="122" t="str">
        <f>$AA$78</f>
        <v>การคิดวิเคราะห์ &amp; การตัดสินใจ 
(Analytical Thinking &amp; Decision Making)</v>
      </c>
      <c r="AC78" s="122" t="str">
        <f>$AA$78</f>
        <v>การคิดวิเคราะห์ &amp; การตัดสินใจ 
(Analytical Thinking &amp; Decision Making)</v>
      </c>
      <c r="AD78" s="122" t="str">
        <f>$AA$86</f>
        <v>พัฒนาทักษะตัวเองอยู่เสมอ 
(Self-Development)</v>
      </c>
      <c r="AF78" s="67" t="str">
        <f>$AA$78</f>
        <v>การคิดวิเคราะห์ &amp; การตัดสินใจ 
(Analytical Thinking &amp; Decision Making)</v>
      </c>
      <c r="AG78" s="72">
        <v>1</v>
      </c>
      <c r="AH78" s="51" t="s">
        <v>132</v>
      </c>
    </row>
    <row r="79" spans="1:34" ht="40.15" customHeight="1" x14ac:dyDescent="0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AA79" s="123" t="s">
        <v>38</v>
      </c>
      <c r="AB79" s="123" t="str">
        <f>$AA$80</f>
        <v>ความเชี่ยวชาญด้านเทคนิค (Technical Skill)</v>
      </c>
      <c r="AC79" s="123" t="str">
        <f>$AA$85</f>
        <v>ความฉับไวในการเรียนรู้ (Learning Agility)</v>
      </c>
      <c r="AD79" s="123" t="str">
        <f>$AA$84</f>
        <v>การปรับตัว &amp; การทำงานร่วมกันเป็นทีม
(Adaptability &amp; Teamwork)</v>
      </c>
      <c r="AF79" s="64"/>
      <c r="AG79" s="73">
        <v>2</v>
      </c>
      <c r="AH79" s="47" t="s">
        <v>208</v>
      </c>
    </row>
    <row r="80" spans="1:34" ht="40.15" customHeight="1" x14ac:dyDescent="0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3"/>
      <c r="AA80" s="124" t="s">
        <v>142</v>
      </c>
      <c r="AB80" s="124" t="str">
        <f>$AA$85</f>
        <v>ความฉับไวในการเรียนรู้ (Learning Agility)</v>
      </c>
      <c r="AC80" s="124" t="str">
        <f>$AA$81</f>
        <v>การวางแผนและการจัดระเบียบ 
(Planning &amp; Organizing)</v>
      </c>
      <c r="AD80" s="124" t="str">
        <f>$AA$82</f>
        <v>ทักษะการสื่อสารและเจรจา 
(Communication &amp; Negotiation)</v>
      </c>
      <c r="AF80" s="68"/>
      <c r="AG80" s="73">
        <v>3</v>
      </c>
      <c r="AH80" s="47" t="s">
        <v>209</v>
      </c>
    </row>
    <row r="81" spans="1:35" ht="40.15" customHeight="1" x14ac:dyDescent="0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3"/>
      <c r="AA81" s="123" t="s">
        <v>58</v>
      </c>
      <c r="AB81" s="123" t="str">
        <f>$AA$81</f>
        <v>การวางแผนและการจัดระเบียบ 
(Planning &amp; Organizing)</v>
      </c>
      <c r="AC81" s="124" t="str">
        <f>$AA$82</f>
        <v>ทักษะการสื่อสารและเจรจา 
(Communication &amp; Negotiation)</v>
      </c>
      <c r="AD81" s="124" t="str">
        <f>$AA$89</f>
        <v>มีความซื่อสัตย์ในการทำงาน 
(Work Ethic)</v>
      </c>
      <c r="AF81" s="68"/>
      <c r="AG81" s="73">
        <v>4</v>
      </c>
      <c r="AH81" s="47" t="s">
        <v>210</v>
      </c>
    </row>
    <row r="82" spans="1:35" ht="40.15" customHeight="1" x14ac:dyDescent="0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3"/>
      <c r="AA82" s="124" t="s">
        <v>53</v>
      </c>
      <c r="AB82" s="124" t="str">
        <f>$AA$82</f>
        <v>ทักษะการสื่อสารและเจรจา 
(Communication &amp; Negotiation)</v>
      </c>
      <c r="AC82" s="124" t="str">
        <f>$AA$88</f>
        <v>รับผิดชอบงานของตนเอง 
(Accountability / Ownership)</v>
      </c>
      <c r="AD82" s="123" t="str">
        <f>$AA$87</f>
        <v>เข้าใจและตอบสนองความต้องการ &amp; ใจรักการบริการ
 (Customer Focus &amp; Service Mindset)</v>
      </c>
      <c r="AF82" s="68"/>
      <c r="AG82" s="73">
        <v>5</v>
      </c>
      <c r="AH82" s="47" t="s">
        <v>211</v>
      </c>
    </row>
    <row r="83" spans="1:35" ht="28.15" customHeight="1" x14ac:dyDescent="0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3"/>
      <c r="AA83" s="167" t="s">
        <v>85</v>
      </c>
      <c r="AB83" s="123" t="str">
        <f>$AA$87</f>
        <v>เข้าใจและตอบสนองความต้องการ &amp; ใจรักการบริการ
 (Customer Focus &amp; Service Mindset)</v>
      </c>
      <c r="AC83" s="123" t="str">
        <f>$AA$83</f>
        <v>ความกระตือรือร้น &amp; ทัศนคติเชิงบวก
 (Proactive &amp; Growth Mindset)</v>
      </c>
      <c r="AD83" s="124" t="str">
        <f>$AA$83</f>
        <v>ความกระตือรือร้น &amp; ทัศนคติเชิงบวก
 (Proactive &amp; Growth Mindset)</v>
      </c>
      <c r="AF83" s="68"/>
      <c r="AG83" s="73"/>
      <c r="AH83" s="47"/>
    </row>
    <row r="84" spans="1:35" ht="30.6" customHeight="1" x14ac:dyDescent="0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3"/>
      <c r="AA84" s="168" t="s">
        <v>41</v>
      </c>
      <c r="AB84" s="124" t="str">
        <f>$AA$79</f>
        <v>การแก้ไขปัญหา 
(Problem Solving)</v>
      </c>
      <c r="AC84" s="124" t="str">
        <f>$AA$86</f>
        <v>พัฒนาทักษะตัวเองอยู่เสมอ 
(Self-Development)</v>
      </c>
      <c r="AD84" s="35" t="s">
        <v>266</v>
      </c>
      <c r="AF84" s="69" t="str">
        <f>$AA$79</f>
        <v>การแก้ไขปัญหา 
(Problem Solving)</v>
      </c>
      <c r="AG84" s="73">
        <v>1</v>
      </c>
      <c r="AH84" s="47" t="s">
        <v>137</v>
      </c>
      <c r="AI84" s="41"/>
    </row>
    <row r="85" spans="1:35" ht="30.6" customHeight="1" x14ac:dyDescent="0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3"/>
      <c r="AA85" s="166" t="s">
        <v>212</v>
      </c>
      <c r="AB85" s="35" t="s">
        <v>250</v>
      </c>
      <c r="AC85" s="123" t="str">
        <f>$AA$87</f>
        <v>เข้าใจและตอบสนองความต้องการ &amp; ใจรักการบริการ
 (Customer Focus &amp; Service Mindset)</v>
      </c>
      <c r="AD85" s="35" t="s">
        <v>268</v>
      </c>
      <c r="AF85" s="64"/>
      <c r="AG85" s="73">
        <v>2</v>
      </c>
      <c r="AH85" s="47" t="s">
        <v>213</v>
      </c>
      <c r="AI85" s="41"/>
    </row>
    <row r="86" spans="1:35" ht="23.25" x14ac:dyDescent="0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3"/>
      <c r="AA86" s="35" t="s">
        <v>25</v>
      </c>
      <c r="AB86" s="35" t="s">
        <v>254</v>
      </c>
      <c r="AC86" s="35" t="s">
        <v>260</v>
      </c>
      <c r="AD86" s="35" t="s">
        <v>270</v>
      </c>
      <c r="AF86" s="64"/>
      <c r="AG86" s="73">
        <v>3</v>
      </c>
      <c r="AH86" s="47" t="s">
        <v>214</v>
      </c>
      <c r="AI86" s="41"/>
    </row>
    <row r="87" spans="1:35" ht="23.25" x14ac:dyDescent="0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3"/>
      <c r="AA87" s="35" t="s">
        <v>86</v>
      </c>
      <c r="AB87" s="35"/>
      <c r="AC87" s="35" t="s">
        <v>264</v>
      </c>
      <c r="AD87" s="35"/>
      <c r="AF87" s="64"/>
      <c r="AG87" s="73">
        <v>4</v>
      </c>
      <c r="AH87" s="47" t="s">
        <v>140</v>
      </c>
    </row>
    <row r="88" spans="1:35" ht="23.25" x14ac:dyDescent="0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3"/>
      <c r="AA88" s="35" t="s">
        <v>82</v>
      </c>
      <c r="AB88" s="35"/>
      <c r="AC88" s="124"/>
      <c r="AD88" s="35"/>
      <c r="AF88" s="64"/>
      <c r="AG88" s="73">
        <v>5</v>
      </c>
      <c r="AH88" s="47" t="s">
        <v>141</v>
      </c>
    </row>
    <row r="89" spans="1:35" ht="23.25" x14ac:dyDescent="0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3"/>
      <c r="AA89" s="35" t="s">
        <v>64</v>
      </c>
      <c r="AB89" s="35"/>
      <c r="AC89" s="123"/>
      <c r="AD89" s="35"/>
      <c r="AF89" s="50"/>
      <c r="AG89" s="73"/>
      <c r="AH89" s="47"/>
    </row>
    <row r="90" spans="1:35" ht="23.25" x14ac:dyDescent="0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  <c r="AA90" s="35" t="s">
        <v>250</v>
      </c>
      <c r="AB90" s="35"/>
      <c r="AC90" s="35"/>
      <c r="AD90" s="35"/>
      <c r="AF90" s="70" t="str">
        <f>$AA$80</f>
        <v>ความเชี่ยวชาญด้านเทคนิค (Technical Skill)</v>
      </c>
      <c r="AG90" s="73">
        <v>1</v>
      </c>
      <c r="AH90" s="47" t="s">
        <v>143</v>
      </c>
    </row>
    <row r="91" spans="1:35" ht="23.25" x14ac:dyDescent="0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AA91" s="35" t="s">
        <v>254</v>
      </c>
      <c r="AB91" s="35"/>
      <c r="AC91" s="35"/>
      <c r="AD91" s="35"/>
      <c r="AF91" s="64"/>
      <c r="AG91" s="73">
        <v>2</v>
      </c>
      <c r="AH91" s="47" t="s">
        <v>218</v>
      </c>
    </row>
    <row r="92" spans="1:35" ht="23.25" x14ac:dyDescent="0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AA92" s="35" t="s">
        <v>260</v>
      </c>
      <c r="AB92" s="35"/>
      <c r="AC92" s="35"/>
      <c r="AD92" s="35"/>
      <c r="AF92" s="64"/>
      <c r="AG92" s="73">
        <v>3</v>
      </c>
      <c r="AH92" s="47" t="s">
        <v>219</v>
      </c>
    </row>
    <row r="93" spans="1:35" ht="23.25" x14ac:dyDescent="0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3"/>
      <c r="AA93" s="35" t="s">
        <v>264</v>
      </c>
      <c r="AB93" s="35"/>
      <c r="AC93" s="35"/>
      <c r="AD93" s="35"/>
      <c r="AF93" s="64"/>
      <c r="AG93" s="73">
        <v>4</v>
      </c>
      <c r="AH93" s="47" t="s">
        <v>146</v>
      </c>
    </row>
    <row r="94" spans="1:35" ht="23.25" x14ac:dyDescent="0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AA94" s="35" t="s">
        <v>266</v>
      </c>
      <c r="AB94" s="35"/>
      <c r="AC94" s="35"/>
      <c r="AD94" s="35"/>
      <c r="AF94" s="64"/>
      <c r="AG94" s="73">
        <v>5</v>
      </c>
      <c r="AH94" s="47" t="s">
        <v>147</v>
      </c>
    </row>
    <row r="95" spans="1:35" ht="23.25" x14ac:dyDescent="0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3"/>
      <c r="AA95" s="35" t="s">
        <v>268</v>
      </c>
      <c r="AB95" s="35"/>
      <c r="AC95" s="35"/>
      <c r="AD95" s="35"/>
      <c r="AF95" s="50"/>
      <c r="AG95" s="73"/>
      <c r="AH95" s="47"/>
    </row>
    <row r="96" spans="1:35" ht="27" customHeight="1" x14ac:dyDescent="0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3"/>
      <c r="AA96" s="125" t="s">
        <v>270</v>
      </c>
      <c r="AB96" s="125"/>
      <c r="AC96" s="125"/>
      <c r="AD96" s="125"/>
      <c r="AF96" s="70" t="str">
        <f>$AA$81</f>
        <v>การวางแผนและการจัดระเบียบ 
(Planning &amp; Organizing)</v>
      </c>
      <c r="AG96" s="73">
        <v>1</v>
      </c>
      <c r="AH96" s="47" t="s">
        <v>148</v>
      </c>
    </row>
    <row r="97" spans="1:34" ht="23.25" x14ac:dyDescent="0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3"/>
      <c r="AF97" s="64"/>
      <c r="AG97" s="73">
        <v>2</v>
      </c>
      <c r="AH97" s="96" t="s">
        <v>149</v>
      </c>
    </row>
    <row r="98" spans="1:34" ht="23.25" x14ac:dyDescent="0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3"/>
      <c r="AB98" s="130" t="s">
        <v>215</v>
      </c>
      <c r="AC98" s="126" t="s">
        <v>216</v>
      </c>
      <c r="AD98" s="127" t="s">
        <v>217</v>
      </c>
      <c r="AF98" s="64"/>
      <c r="AG98" s="73">
        <v>3</v>
      </c>
      <c r="AH98" s="48" t="s">
        <v>150</v>
      </c>
    </row>
    <row r="99" spans="1:34" ht="23.25" x14ac:dyDescent="0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3"/>
      <c r="AB99" s="24" t="str" cm="1">
        <f t="array" ref="AB99:AB105">_xlfn.LET(_xlpm.all,$AB$78:$AB$87,_xlpm.sel,$G$8:$H$19,_xlfn._xlws.FILTER(_xlpm.all, COUNTIF(_xlpm.sel, _xlpm.all)=0))</f>
        <v>การคิดวิเคราะห์ &amp; การตัดสินใจ 
(Analytical Thinking &amp; Decision Making)</v>
      </c>
      <c r="AC99" t="str" cm="1">
        <f t="array" ref="AC99:AC106">_xlfn.LET(_xlpm.all,$AC$78:$AC$87,_xlpm.sel,$G$20:$H$27,_xlfn._xlws.FILTER(_xlpm.all, COUNTIF(_xlpm.sel, _xlpm.all)=0))</f>
        <v>การคิดวิเคราะห์ &amp; การตัดสินใจ 
(Analytical Thinking &amp; Decision Making)</v>
      </c>
      <c r="AD99" s="29" t="str" cm="1">
        <f t="array" ref="AD99:AD105">_xlfn.LET(_xlpm.all,$AD$78:$AD$86,_xlpm.sel,$G$28:$H$35,_xlfn._xlws.FILTER(_xlpm.all, COUNTIF(_xlpm.sel, _xlpm.all)=0))</f>
        <v>พัฒนาทักษะตัวเองอยู่เสมอ 
(Self-Development)</v>
      </c>
      <c r="AF99" s="64"/>
      <c r="AG99" s="73">
        <v>4</v>
      </c>
      <c r="AH99" s="47" t="s">
        <v>220</v>
      </c>
    </row>
    <row r="100" spans="1:34" ht="23.25" x14ac:dyDescent="0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3"/>
      <c r="AB100" s="24" t="str">
        <v>ความเชี่ยวชาญด้านเทคนิค (Technical Skill)</v>
      </c>
      <c r="AC100" t="str">
        <v>การวางแผนและการจัดระเบียบ 
(Planning &amp; Organizing)</v>
      </c>
      <c r="AD100" s="29" t="str">
        <v>ทักษะการสื่อสารและเจรจา 
(Communication &amp; Negotiation)</v>
      </c>
      <c r="AF100" s="64"/>
      <c r="AG100" s="73">
        <v>5</v>
      </c>
      <c r="AH100" s="47" t="s">
        <v>221</v>
      </c>
    </row>
    <row r="101" spans="1:34" ht="23.25" x14ac:dyDescent="0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"/>
      <c r="AB101" s="24" t="str">
        <v>ความฉับไวในการเรียนรู้ (Learning Agility)</v>
      </c>
      <c r="AC101" t="str">
        <v>ทักษะการสื่อสารและเจรจา 
(Communication &amp; Negotiation)</v>
      </c>
      <c r="AD101" s="29" t="str">
        <v>มีความซื่อสัตย์ในการทำงาน 
(Work Ethic)</v>
      </c>
      <c r="AF101" s="50"/>
      <c r="AG101" s="73"/>
      <c r="AH101" s="47"/>
    </row>
    <row r="102" spans="1:34" ht="46.5" x14ac:dyDescent="0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"/>
      <c r="AB102" s="24" t="str">
        <v>การวางแผนและการจัดระเบียบ 
(Planning &amp; Organizing)</v>
      </c>
      <c r="AC102" t="str">
        <v>ความกระตือรือร้น &amp; ทัศนคติเชิงบวก
 (Proactive &amp; Growth Mindset)</v>
      </c>
      <c r="AD102" s="29" t="str">
        <v>เข้าใจและตอบสนองความต้องการ &amp; ใจรักการบริการ
 (Customer Focus &amp; Service Mindset)</v>
      </c>
      <c r="AF102" s="70" t="str">
        <f>$AA$82</f>
        <v>ทักษะการสื่อสารและเจรจา 
(Communication &amp; Negotiation)</v>
      </c>
      <c r="AG102" s="73">
        <v>1</v>
      </c>
      <c r="AH102" s="47" t="s">
        <v>153</v>
      </c>
    </row>
    <row r="103" spans="1:34" ht="23.2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"/>
      <c r="AB103" s="24" t="str">
        <v>เข้าใจและตอบสนองความต้องการ &amp; ใจรักการบริการ
 (Customer Focus &amp; Service Mindset)</v>
      </c>
      <c r="AC103" t="str">
        <v>พัฒนาทักษะตัวเองอยู่เสมอ 
(Self-Development)</v>
      </c>
      <c r="AD103" s="29" t="str">
        <v>Domain Knowledge</v>
      </c>
      <c r="AF103" s="64"/>
      <c r="AG103" s="73">
        <v>2</v>
      </c>
      <c r="AH103" s="47" t="s">
        <v>154</v>
      </c>
    </row>
    <row r="104" spans="1:34" ht="23.2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"/>
      <c r="AB104" s="24" t="str">
        <v>Business Process Modeling</v>
      </c>
      <c r="AC104" t="str">
        <v>เข้าใจและตอบสนองความต้องการ &amp; ใจรักการบริการ
 (Customer Focus &amp; Service Mindset)</v>
      </c>
      <c r="AD104" s="29" t="str">
        <v>Empathy &amp; Stakeholder Understanding</v>
      </c>
      <c r="AF104" s="64"/>
      <c r="AG104" s="73">
        <v>3</v>
      </c>
      <c r="AH104" s="47" t="s">
        <v>253</v>
      </c>
    </row>
    <row r="105" spans="1:34" ht="23.2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"/>
      <c r="AB105" s="24">
        <v>0</v>
      </c>
      <c r="AC105" t="str">
        <v>UX/UI</v>
      </c>
      <c r="AD105" s="29" t="str">
        <v>Basic Query Optimization</v>
      </c>
      <c r="AF105" s="64"/>
      <c r="AG105" s="73">
        <v>4</v>
      </c>
      <c r="AH105" s="47" t="s">
        <v>223</v>
      </c>
    </row>
    <row r="106" spans="1:34" ht="23.25" x14ac:dyDescent="0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/>
      <c r="AB106" s="24"/>
      <c r="AC106" t="str">
        <v>API Basics</v>
      </c>
      <c r="AD106" s="29"/>
      <c r="AF106" s="64"/>
      <c r="AG106" s="73">
        <v>5</v>
      </c>
      <c r="AH106" s="47" t="s">
        <v>157</v>
      </c>
    </row>
    <row r="107" spans="1:34" ht="23.25" x14ac:dyDescent="0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"/>
      <c r="AB107" s="120"/>
      <c r="AC107" s="129"/>
      <c r="AD107" s="121"/>
      <c r="AF107" s="50"/>
      <c r="AG107" s="73"/>
      <c r="AH107" s="47"/>
    </row>
    <row r="108" spans="1:34" ht="46.5" x14ac:dyDescent="0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"/>
      <c r="AF108" s="70" t="str">
        <f>$AA$83</f>
        <v>ความกระตือรือร้น &amp; ทัศนคติเชิงบวก
 (Proactive &amp; Growth Mindset)</v>
      </c>
      <c r="AG108" s="74">
        <v>1</v>
      </c>
      <c r="AH108" s="50" t="s">
        <v>158</v>
      </c>
    </row>
    <row r="109" spans="1:34" ht="23.25" x14ac:dyDescent="0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"/>
      <c r="AF109" s="64"/>
      <c r="AG109" s="73">
        <v>2</v>
      </c>
      <c r="AH109" s="47" t="s">
        <v>159</v>
      </c>
    </row>
    <row r="110" spans="1:34" ht="23.25" x14ac:dyDescent="0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"/>
      <c r="AF110" s="68"/>
      <c r="AG110" s="73">
        <v>3</v>
      </c>
      <c r="AH110" s="47" t="s">
        <v>160</v>
      </c>
    </row>
    <row r="111" spans="1:34" ht="23.25" x14ac:dyDescent="0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"/>
      <c r="AF111" s="68"/>
      <c r="AG111" s="73">
        <v>4</v>
      </c>
      <c r="AH111" s="47" t="s">
        <v>161</v>
      </c>
    </row>
    <row r="112" spans="1:34" ht="23.25" x14ac:dyDescent="0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"/>
      <c r="AF112" s="68"/>
      <c r="AG112" s="73">
        <v>5</v>
      </c>
      <c r="AH112" s="47" t="s">
        <v>224</v>
      </c>
    </row>
    <row r="113" spans="1:34" ht="23.25" x14ac:dyDescent="0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"/>
      <c r="AF113" s="50"/>
      <c r="AG113" s="73"/>
      <c r="AH113" s="47"/>
    </row>
    <row r="114" spans="1:34" ht="24.6" customHeight="1" x14ac:dyDescent="0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"/>
      <c r="AF114" s="69" t="str">
        <f>$AA$84</f>
        <v>การปรับตัว &amp; การทำงานร่วมกันเป็นทีม
(Adaptability &amp; Teamwork)</v>
      </c>
      <c r="AG114" s="73">
        <v>1</v>
      </c>
      <c r="AH114" s="47" t="s">
        <v>163</v>
      </c>
    </row>
    <row r="115" spans="1:34" ht="23.25" x14ac:dyDescent="0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"/>
      <c r="AF115" s="64"/>
      <c r="AG115" s="73">
        <v>2</v>
      </c>
      <c r="AH115" s="47" t="s">
        <v>164</v>
      </c>
    </row>
    <row r="116" spans="1:34" ht="23.25" x14ac:dyDescent="0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"/>
      <c r="AF116" s="68"/>
      <c r="AG116" s="73">
        <v>3</v>
      </c>
      <c r="AH116" s="47" t="s">
        <v>165</v>
      </c>
    </row>
    <row r="117" spans="1:34" ht="23.25" x14ac:dyDescent="0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"/>
      <c r="AF117" s="68"/>
      <c r="AG117" s="73">
        <v>4</v>
      </c>
      <c r="AH117" s="47" t="s">
        <v>166</v>
      </c>
    </row>
    <row r="118" spans="1:34" ht="23.25" x14ac:dyDescent="0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"/>
      <c r="AF118" s="68"/>
      <c r="AG118" s="73">
        <v>5</v>
      </c>
      <c r="AH118" s="47" t="s">
        <v>225</v>
      </c>
    </row>
    <row r="119" spans="1:34" ht="23.25" x14ac:dyDescent="0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"/>
      <c r="AF119" s="68"/>
      <c r="AG119" s="73"/>
      <c r="AH119" s="47"/>
    </row>
    <row r="120" spans="1:34" ht="23.25" x14ac:dyDescent="0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"/>
      <c r="AF120" s="70" t="str">
        <f>$AA$85</f>
        <v>ความฉับไวในการเรียนรู้ (Learning Agility)</v>
      </c>
      <c r="AG120" s="73">
        <v>1</v>
      </c>
      <c r="AH120" s="47" t="s">
        <v>168</v>
      </c>
    </row>
    <row r="121" spans="1:34" ht="23.25" x14ac:dyDescent="0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"/>
      <c r="AF121" s="64"/>
      <c r="AG121" s="73">
        <v>2</v>
      </c>
      <c r="AH121" s="47" t="s">
        <v>169</v>
      </c>
    </row>
    <row r="122" spans="1:34" ht="23.25" x14ac:dyDescent="0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"/>
      <c r="AF122" s="64"/>
      <c r="AG122" s="73">
        <v>3</v>
      </c>
      <c r="AH122" s="47" t="s">
        <v>170</v>
      </c>
    </row>
    <row r="123" spans="1:34" ht="23.25" x14ac:dyDescent="0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"/>
      <c r="AF123" s="64"/>
      <c r="AG123" s="73">
        <v>4</v>
      </c>
      <c r="AH123" s="47" t="s">
        <v>171</v>
      </c>
    </row>
    <row r="124" spans="1:34" ht="23.25" x14ac:dyDescent="0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"/>
      <c r="AF124" s="64"/>
      <c r="AG124" s="73">
        <v>5</v>
      </c>
      <c r="AH124" s="47" t="s">
        <v>172</v>
      </c>
    </row>
    <row r="125" spans="1:34" ht="23.25" x14ac:dyDescent="0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"/>
      <c r="AF125" s="68"/>
      <c r="AG125" s="73"/>
      <c r="AH125" s="47"/>
    </row>
    <row r="126" spans="1:34" ht="46.5" x14ac:dyDescent="0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"/>
      <c r="AF126" s="70" t="str">
        <f>$AA$86</f>
        <v>พัฒนาทักษะตัวเองอยู่เสมอ 
(Self-Development)</v>
      </c>
      <c r="AG126" s="73">
        <v>1</v>
      </c>
      <c r="AH126" s="47" t="s">
        <v>173</v>
      </c>
    </row>
    <row r="127" spans="1:34" ht="23.25" x14ac:dyDescent="0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"/>
      <c r="AF127" s="64"/>
      <c r="AG127" s="73">
        <v>2</v>
      </c>
      <c r="AH127" s="47" t="s">
        <v>174</v>
      </c>
    </row>
    <row r="128" spans="1:34" ht="23.25" x14ac:dyDescent="0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"/>
      <c r="AF128" s="68"/>
      <c r="AG128" s="73">
        <v>3</v>
      </c>
      <c r="AH128" s="47" t="s">
        <v>175</v>
      </c>
    </row>
    <row r="129" spans="1:34" ht="23.25" x14ac:dyDescent="0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"/>
      <c r="AF129" s="68"/>
      <c r="AG129" s="73">
        <v>4</v>
      </c>
      <c r="AH129" s="47" t="s">
        <v>176</v>
      </c>
    </row>
    <row r="130" spans="1:34" ht="23.25" x14ac:dyDescent="0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AF130" s="68"/>
      <c r="AG130" s="73">
        <v>5</v>
      </c>
      <c r="AH130" s="47" t="s">
        <v>177</v>
      </c>
    </row>
    <row r="131" spans="1:34" ht="23.25" x14ac:dyDescent="0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"/>
      <c r="AF131" s="68"/>
      <c r="AG131" s="73"/>
      <c r="AH131" s="47"/>
    </row>
    <row r="132" spans="1:34" ht="69.75" x14ac:dyDescent="0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/>
      <c r="AF132" s="70" t="str">
        <f>$AA$87</f>
        <v>เข้าใจและตอบสนองความต้องการ &amp; ใจรักการบริการ
 (Customer Focus &amp; Service Mindset)</v>
      </c>
      <c r="AG132" s="73">
        <v>1</v>
      </c>
      <c r="AH132" s="47" t="s">
        <v>178</v>
      </c>
    </row>
    <row r="133" spans="1:34" ht="23.25" x14ac:dyDescent="0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"/>
      <c r="AF133" s="64"/>
      <c r="AG133" s="73">
        <v>2</v>
      </c>
      <c r="AH133" s="47" t="s">
        <v>226</v>
      </c>
    </row>
    <row r="134" spans="1:34" ht="23.25" x14ac:dyDescent="0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"/>
      <c r="AF134" s="68"/>
      <c r="AG134" s="73">
        <v>3</v>
      </c>
      <c r="AH134" s="47" t="s">
        <v>227</v>
      </c>
    </row>
    <row r="135" spans="1:34" ht="23.25" x14ac:dyDescent="0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AF135" s="68"/>
      <c r="AG135" s="73">
        <v>4</v>
      </c>
      <c r="AH135" s="47" t="s">
        <v>228</v>
      </c>
    </row>
    <row r="136" spans="1:34" ht="23.25" x14ac:dyDescent="0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AF136" s="68"/>
      <c r="AG136" s="73">
        <v>5</v>
      </c>
      <c r="AH136" s="47" t="s">
        <v>229</v>
      </c>
    </row>
    <row r="137" spans="1:34" ht="23.25" x14ac:dyDescent="0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"/>
      <c r="AF137" s="68"/>
      <c r="AG137" s="73"/>
      <c r="AH137" s="47"/>
    </row>
    <row r="138" spans="1:34" ht="46.5" x14ac:dyDescent="0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"/>
      <c r="AF138" s="70" t="str">
        <f>$AA$88</f>
        <v>รับผิดชอบงานของตนเอง 
(Accountability / Ownership)</v>
      </c>
      <c r="AG138" s="73">
        <v>1</v>
      </c>
      <c r="AH138" s="49" t="s">
        <v>183</v>
      </c>
    </row>
    <row r="139" spans="1:34" ht="23.25" x14ac:dyDescent="0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AF139" s="64"/>
      <c r="AG139" s="73">
        <v>2</v>
      </c>
      <c r="AH139" s="49" t="s">
        <v>184</v>
      </c>
    </row>
    <row r="140" spans="1:34" ht="23.25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/>
      <c r="AF140" s="68"/>
      <c r="AG140" s="73">
        <v>3</v>
      </c>
      <c r="AH140" s="49" t="s">
        <v>230</v>
      </c>
    </row>
    <row r="141" spans="1:34" ht="23.25" x14ac:dyDescent="0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AF141" s="68"/>
      <c r="AG141" s="73">
        <v>4</v>
      </c>
      <c r="AH141" s="49" t="s">
        <v>231</v>
      </c>
    </row>
    <row r="142" spans="1:34" ht="23.25" x14ac:dyDescent="0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AF142" s="68"/>
      <c r="AG142" s="73">
        <v>5</v>
      </c>
      <c r="AH142" s="49" t="s">
        <v>187</v>
      </c>
    </row>
    <row r="143" spans="1:34" ht="23.25" x14ac:dyDescent="0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"/>
      <c r="AF143" s="68"/>
      <c r="AG143" s="73"/>
      <c r="AH143" s="47"/>
    </row>
    <row r="144" spans="1:34" ht="46.5" x14ac:dyDescent="0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AF144" s="70" t="str">
        <f>$AA$89</f>
        <v>มีความซื่อสัตย์ในการทำงาน 
(Work Ethic)</v>
      </c>
      <c r="AG144" s="73">
        <v>1</v>
      </c>
      <c r="AH144" s="47" t="s">
        <v>188</v>
      </c>
    </row>
    <row r="145" spans="1:34" ht="23.25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AF145" s="64"/>
      <c r="AG145" s="73">
        <v>2</v>
      </c>
      <c r="AH145" s="47" t="s">
        <v>189</v>
      </c>
    </row>
    <row r="146" spans="1:34" ht="23.25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  <c r="AF146" s="68"/>
      <c r="AG146" s="59">
        <v>3</v>
      </c>
      <c r="AH146" s="45" t="s">
        <v>190</v>
      </c>
    </row>
    <row r="147" spans="1:34" ht="23.25" x14ac:dyDescent="0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"/>
      <c r="AF147" s="68"/>
      <c r="AG147" s="59">
        <v>4</v>
      </c>
      <c r="AH147" s="45" t="s">
        <v>191</v>
      </c>
    </row>
    <row r="148" spans="1:34" ht="23.25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  <c r="AF148" s="68"/>
      <c r="AG148" s="59">
        <v>5</v>
      </c>
      <c r="AH148" s="45" t="s">
        <v>192</v>
      </c>
    </row>
    <row r="149" spans="1:34" ht="23.25" x14ac:dyDescent="0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/>
      <c r="AF149" s="162" t="s">
        <v>250</v>
      </c>
      <c r="AG149" s="59">
        <v>1</v>
      </c>
      <c r="AH149" s="45" t="s">
        <v>251</v>
      </c>
    </row>
    <row r="150" spans="1:34" ht="23.25" x14ac:dyDescent="0.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3"/>
      <c r="AF150" s="35"/>
      <c r="AG150" s="59">
        <v>2</v>
      </c>
      <c r="AH150" s="45" t="s">
        <v>251</v>
      </c>
    </row>
    <row r="151" spans="1:34" ht="23.25" x14ac:dyDescent="0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AF151" s="35"/>
      <c r="AG151" s="59">
        <v>3</v>
      </c>
      <c r="AH151" s="45" t="s">
        <v>251</v>
      </c>
    </row>
    <row r="152" spans="1:34" ht="23.2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AF152" s="35"/>
      <c r="AG152" s="59">
        <v>4</v>
      </c>
      <c r="AH152" s="162" t="s">
        <v>252</v>
      </c>
    </row>
    <row r="153" spans="1:34" ht="23.25" x14ac:dyDescent="0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AF153" s="35"/>
      <c r="AG153" s="59">
        <v>5</v>
      </c>
      <c r="AH153" s="47" t="s">
        <v>262</v>
      </c>
    </row>
    <row r="154" spans="1:34" ht="23.25" x14ac:dyDescent="0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AF154" s="35"/>
      <c r="AG154" s="59"/>
      <c r="AH154" s="47"/>
    </row>
    <row r="155" spans="1:34" ht="23.25" x14ac:dyDescent="0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AF155" s="162" t="s">
        <v>254</v>
      </c>
      <c r="AG155" s="59">
        <v>1</v>
      </c>
      <c r="AH155" s="47" t="s">
        <v>255</v>
      </c>
    </row>
    <row r="156" spans="1:34" ht="23.25" x14ac:dyDescent="0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AF156" s="35"/>
      <c r="AG156" s="59">
        <v>2</v>
      </c>
      <c r="AH156" s="47" t="s">
        <v>256</v>
      </c>
    </row>
    <row r="157" spans="1:34" ht="23.25" x14ac:dyDescent="0.25">
      <c r="AF157" s="35"/>
      <c r="AG157" s="59">
        <v>3</v>
      </c>
      <c r="AH157" s="35" t="s">
        <v>257</v>
      </c>
    </row>
    <row r="158" spans="1:34" ht="23.25" x14ac:dyDescent="0.5">
      <c r="AF158" s="35"/>
      <c r="AG158" s="59">
        <v>4</v>
      </c>
      <c r="AH158" s="47" t="s">
        <v>258</v>
      </c>
    </row>
    <row r="159" spans="1:34" ht="23.25" x14ac:dyDescent="0.5">
      <c r="AF159" s="35"/>
      <c r="AG159" s="59">
        <v>5</v>
      </c>
      <c r="AH159" s="47" t="s">
        <v>259</v>
      </c>
    </row>
    <row r="160" spans="1:34" x14ac:dyDescent="0.25">
      <c r="AF160" s="35"/>
      <c r="AG160" s="35"/>
      <c r="AH160" s="35"/>
    </row>
    <row r="161" spans="32:34" ht="23.25" x14ac:dyDescent="0.5">
      <c r="AF161" s="162" t="s">
        <v>260</v>
      </c>
      <c r="AG161" s="59">
        <v>1</v>
      </c>
      <c r="AH161" s="47" t="s">
        <v>251</v>
      </c>
    </row>
    <row r="162" spans="32:34" ht="23.25" x14ac:dyDescent="0.5">
      <c r="AF162" s="35"/>
      <c r="AG162" s="59">
        <v>2</v>
      </c>
      <c r="AH162" s="47" t="s">
        <v>251</v>
      </c>
    </row>
    <row r="163" spans="32:34" ht="23.25" x14ac:dyDescent="0.5">
      <c r="AF163" s="35"/>
      <c r="AG163" s="59">
        <v>3</v>
      </c>
      <c r="AH163" s="47" t="s">
        <v>251</v>
      </c>
    </row>
    <row r="164" spans="32:34" ht="23.25" x14ac:dyDescent="0.25">
      <c r="AF164" s="35"/>
      <c r="AG164" s="59">
        <v>4</v>
      </c>
      <c r="AH164" s="35" t="s">
        <v>261</v>
      </c>
    </row>
    <row r="165" spans="32:34" ht="23.25" x14ac:dyDescent="0.5">
      <c r="AF165" s="35"/>
      <c r="AG165" s="59">
        <v>5</v>
      </c>
      <c r="AH165" s="47" t="s">
        <v>263</v>
      </c>
    </row>
    <row r="166" spans="32:34" x14ac:dyDescent="0.25">
      <c r="AF166" s="35"/>
      <c r="AG166" s="35"/>
      <c r="AH166" s="35"/>
    </row>
    <row r="167" spans="32:34" ht="23.25" x14ac:dyDescent="0.5">
      <c r="AF167" s="162" t="s">
        <v>264</v>
      </c>
      <c r="AG167" s="59">
        <v>1</v>
      </c>
      <c r="AH167" s="47" t="s">
        <v>251</v>
      </c>
    </row>
    <row r="168" spans="32:34" ht="23.25" x14ac:dyDescent="0.5">
      <c r="AF168" s="35"/>
      <c r="AG168" s="59">
        <v>2</v>
      </c>
      <c r="AH168" s="47" t="s">
        <v>251</v>
      </c>
    </row>
    <row r="169" spans="32:34" ht="30" x14ac:dyDescent="0.25">
      <c r="AF169" s="35"/>
      <c r="AG169" s="59">
        <v>3</v>
      </c>
      <c r="AH169" s="164" t="s">
        <v>265</v>
      </c>
    </row>
    <row r="170" spans="32:34" ht="23.25" x14ac:dyDescent="0.5">
      <c r="AF170" s="35"/>
      <c r="AG170" s="59">
        <v>4</v>
      </c>
      <c r="AH170" s="47" t="s">
        <v>263</v>
      </c>
    </row>
    <row r="171" spans="32:34" ht="23.25" x14ac:dyDescent="0.5">
      <c r="AF171" s="35"/>
      <c r="AG171" s="59">
        <v>5</v>
      </c>
      <c r="AH171" s="47" t="s">
        <v>263</v>
      </c>
    </row>
    <row r="172" spans="32:34" x14ac:dyDescent="0.25">
      <c r="AF172" s="35"/>
      <c r="AG172" s="35"/>
      <c r="AH172" s="35"/>
    </row>
    <row r="173" spans="32:34" ht="23.25" x14ac:dyDescent="0.5">
      <c r="AF173" s="162" t="s">
        <v>266</v>
      </c>
      <c r="AG173" s="59">
        <v>1</v>
      </c>
      <c r="AH173" s="47" t="s">
        <v>251</v>
      </c>
    </row>
    <row r="174" spans="32:34" ht="23.25" x14ac:dyDescent="0.5">
      <c r="AF174" s="35"/>
      <c r="AG174" s="59">
        <v>2</v>
      </c>
      <c r="AH174" s="47" t="s">
        <v>251</v>
      </c>
    </row>
    <row r="175" spans="32:34" ht="23.25" x14ac:dyDescent="0.25">
      <c r="AF175" s="35"/>
      <c r="AG175" s="59">
        <v>3</v>
      </c>
      <c r="AH175" s="35" t="s">
        <v>267</v>
      </c>
    </row>
    <row r="176" spans="32:34" ht="23.25" x14ac:dyDescent="0.5">
      <c r="AF176" s="35"/>
      <c r="AG176" s="59">
        <v>4</v>
      </c>
      <c r="AH176" s="47" t="s">
        <v>263</v>
      </c>
    </row>
    <row r="177" spans="32:34" ht="23.25" x14ac:dyDescent="0.5">
      <c r="AF177" s="35"/>
      <c r="AG177" s="59">
        <v>5</v>
      </c>
      <c r="AH177" s="47" t="s">
        <v>263</v>
      </c>
    </row>
    <row r="178" spans="32:34" x14ac:dyDescent="0.25">
      <c r="AF178" s="35"/>
      <c r="AG178" s="35"/>
      <c r="AH178" s="35"/>
    </row>
    <row r="179" spans="32:34" x14ac:dyDescent="0.25">
      <c r="AF179" s="35"/>
      <c r="AG179" s="35"/>
      <c r="AH179" s="35"/>
    </row>
    <row r="180" spans="32:34" ht="23.25" x14ac:dyDescent="0.5">
      <c r="AF180" s="162" t="s">
        <v>268</v>
      </c>
      <c r="AG180" s="59">
        <v>1</v>
      </c>
      <c r="AH180" s="47" t="s">
        <v>251</v>
      </c>
    </row>
    <row r="181" spans="32:34" ht="23.25" x14ac:dyDescent="0.5">
      <c r="AF181" s="35"/>
      <c r="AG181" s="59">
        <v>2</v>
      </c>
      <c r="AH181" s="47" t="s">
        <v>251</v>
      </c>
    </row>
    <row r="182" spans="32:34" ht="23.25" x14ac:dyDescent="0.25">
      <c r="AF182" s="35"/>
      <c r="AG182" s="59">
        <v>3</v>
      </c>
      <c r="AH182" s="165" t="s">
        <v>269</v>
      </c>
    </row>
    <row r="183" spans="32:34" ht="23.25" x14ac:dyDescent="0.5">
      <c r="AF183" s="35"/>
      <c r="AG183" s="59">
        <v>4</v>
      </c>
      <c r="AH183" s="47" t="s">
        <v>263</v>
      </c>
    </row>
    <row r="184" spans="32:34" ht="23.25" x14ac:dyDescent="0.5">
      <c r="AF184" s="35"/>
      <c r="AG184" s="59">
        <v>5</v>
      </c>
      <c r="AH184" s="47" t="s">
        <v>263</v>
      </c>
    </row>
    <row r="185" spans="32:34" x14ac:dyDescent="0.25">
      <c r="AF185" s="35"/>
      <c r="AG185" s="35"/>
      <c r="AH185" s="35"/>
    </row>
    <row r="186" spans="32:34" ht="23.25" x14ac:dyDescent="0.5">
      <c r="AF186" s="35" t="s">
        <v>270</v>
      </c>
      <c r="AG186" s="59">
        <v>1</v>
      </c>
      <c r="AH186" s="47" t="s">
        <v>251</v>
      </c>
    </row>
    <row r="187" spans="32:34" ht="23.25" x14ac:dyDescent="0.5">
      <c r="AF187" s="35"/>
      <c r="AG187" s="59">
        <v>2</v>
      </c>
      <c r="AH187" s="47" t="s">
        <v>251</v>
      </c>
    </row>
    <row r="188" spans="32:34" ht="23.25" x14ac:dyDescent="0.25">
      <c r="AF188" s="35"/>
      <c r="AG188" s="59">
        <v>3</v>
      </c>
      <c r="AH188" s="35" t="s">
        <v>271</v>
      </c>
    </row>
    <row r="189" spans="32:34" ht="23.25" x14ac:dyDescent="0.5">
      <c r="AF189" s="35"/>
      <c r="AG189" s="59">
        <v>4</v>
      </c>
      <c r="AH189" s="47" t="s">
        <v>263</v>
      </c>
    </row>
    <row r="190" spans="32:34" ht="23.25" x14ac:dyDescent="0.5">
      <c r="AF190" s="125"/>
      <c r="AG190" s="163">
        <v>5</v>
      </c>
      <c r="AH190" s="161" t="s">
        <v>263</v>
      </c>
    </row>
  </sheetData>
  <mergeCells count="136">
    <mergeCell ref="A8:A19"/>
    <mergeCell ref="B8:B11"/>
    <mergeCell ref="G8:H11"/>
    <mergeCell ref="I8:I11"/>
    <mergeCell ref="J8:J11"/>
    <mergeCell ref="B12:B15"/>
    <mergeCell ref="C12:F12"/>
    <mergeCell ref="G12:H15"/>
    <mergeCell ref="I12:I15"/>
    <mergeCell ref="B16:B19"/>
    <mergeCell ref="C8:D8"/>
    <mergeCell ref="E51:E52"/>
    <mergeCell ref="F51:F52"/>
    <mergeCell ref="G24:H27"/>
    <mergeCell ref="I24:I27"/>
    <mergeCell ref="J24:J27"/>
    <mergeCell ref="K16:K19"/>
    <mergeCell ref="J12:J15"/>
    <mergeCell ref="K12:K15"/>
    <mergeCell ref="C13:F13"/>
    <mergeCell ref="C14:F15"/>
    <mergeCell ref="C17:F17"/>
    <mergeCell ref="I20:I23"/>
    <mergeCell ref="C20:F20"/>
    <mergeCell ref="C16:F16"/>
    <mergeCell ref="G16:H19"/>
    <mergeCell ref="I16:I19"/>
    <mergeCell ref="J16:J19"/>
    <mergeCell ref="G20:H23"/>
    <mergeCell ref="A60:F60"/>
    <mergeCell ref="A61:O65"/>
    <mergeCell ref="E55:E56"/>
    <mergeCell ref="F55:F56"/>
    <mergeCell ref="E53:E54"/>
    <mergeCell ref="F53:F54"/>
    <mergeCell ref="B53:C53"/>
    <mergeCell ref="B54:C54"/>
    <mergeCell ref="B55:C55"/>
    <mergeCell ref="B56:C56"/>
    <mergeCell ref="A57:C57"/>
    <mergeCell ref="I57:L57"/>
    <mergeCell ref="I59:L59"/>
    <mergeCell ref="N57:O57"/>
    <mergeCell ref="N59:O59"/>
    <mergeCell ref="AC36:AC43"/>
    <mergeCell ref="A38:G39"/>
    <mergeCell ref="J38:O39"/>
    <mergeCell ref="AB39:AB43"/>
    <mergeCell ref="A42:F42"/>
    <mergeCell ref="A43:O47"/>
    <mergeCell ref="B51:C51"/>
    <mergeCell ref="B52:C52"/>
    <mergeCell ref="L33:L35"/>
    <mergeCell ref="M33:O35"/>
    <mergeCell ref="C34:F35"/>
    <mergeCell ref="A36:O36"/>
    <mergeCell ref="AA36:AA43"/>
    <mergeCell ref="AB36:AB38"/>
    <mergeCell ref="AC29:AC33"/>
    <mergeCell ref="C30:F31"/>
    <mergeCell ref="B32:B35"/>
    <mergeCell ref="C32:F32"/>
    <mergeCell ref="G32:H35"/>
    <mergeCell ref="I32:I35"/>
    <mergeCell ref="J32:J35"/>
    <mergeCell ref="K32:K35"/>
    <mergeCell ref="M32:O32"/>
    <mergeCell ref="C33:F33"/>
    <mergeCell ref="AD26:AD33"/>
    <mergeCell ref="A28:A35"/>
    <mergeCell ref="B28:B31"/>
    <mergeCell ref="C28:F28"/>
    <mergeCell ref="G28:H31"/>
    <mergeCell ref="I28:I31"/>
    <mergeCell ref="J28:J31"/>
    <mergeCell ref="K28:K31"/>
    <mergeCell ref="M24:O24"/>
    <mergeCell ref="C25:F25"/>
    <mergeCell ref="L25:L27"/>
    <mergeCell ref="M25:O27"/>
    <mergeCell ref="C26:F27"/>
    <mergeCell ref="AA26:AA33"/>
    <mergeCell ref="M28:O28"/>
    <mergeCell ref="C29:F29"/>
    <mergeCell ref="L29:L31"/>
    <mergeCell ref="M29:O31"/>
    <mergeCell ref="B24:B27"/>
    <mergeCell ref="C24:F24"/>
    <mergeCell ref="AB26:AB33"/>
    <mergeCell ref="AC26:AC28"/>
    <mergeCell ref="A20:A27"/>
    <mergeCell ref="B20:B23"/>
    <mergeCell ref="A1:O1"/>
    <mergeCell ref="B2:F2"/>
    <mergeCell ref="G2:H2"/>
    <mergeCell ref="N2:O2"/>
    <mergeCell ref="B6:F6"/>
    <mergeCell ref="B7:F7"/>
    <mergeCell ref="A5:O5"/>
    <mergeCell ref="G6:H6"/>
    <mergeCell ref="L6:O6"/>
    <mergeCell ref="G7:H7"/>
    <mergeCell ref="L7:O7"/>
    <mergeCell ref="B3:F3"/>
    <mergeCell ref="G3:H3"/>
    <mergeCell ref="N3:O3"/>
    <mergeCell ref="B4:F4"/>
    <mergeCell ref="G4:H4"/>
    <mergeCell ref="N4:O4"/>
    <mergeCell ref="I2:L2"/>
    <mergeCell ref="I4:L4"/>
    <mergeCell ref="I3:L3"/>
    <mergeCell ref="K8:K11"/>
    <mergeCell ref="M8:O8"/>
    <mergeCell ref="C9:F9"/>
    <mergeCell ref="L9:L11"/>
    <mergeCell ref="M9:O11"/>
    <mergeCell ref="C10:F11"/>
    <mergeCell ref="K51:O55"/>
    <mergeCell ref="M12:O12"/>
    <mergeCell ref="K24:K27"/>
    <mergeCell ref="L13:L15"/>
    <mergeCell ref="M13:O15"/>
    <mergeCell ref="J20:J23"/>
    <mergeCell ref="K20:K23"/>
    <mergeCell ref="M20:O20"/>
    <mergeCell ref="C21:F21"/>
    <mergeCell ref="L21:L23"/>
    <mergeCell ref="M21:O23"/>
    <mergeCell ref="C22:F23"/>
    <mergeCell ref="M16:O16"/>
    <mergeCell ref="L17:L19"/>
    <mergeCell ref="M17:O19"/>
    <mergeCell ref="C18:F19"/>
    <mergeCell ref="A49:F49"/>
    <mergeCell ref="A50:C50"/>
  </mergeCells>
  <conditionalFormatting sqref="C18">
    <cfRule type="containsText" dxfId="7" priority="15" operator="containsText" text="โปรดเลือกรายการที่ต้องการประเมิน">
      <formula>NOT(ISERROR(SEARCH("โปรดเลือกรายการที่ต้องการประเมิน",C18)))</formula>
    </cfRule>
  </conditionalFormatting>
  <conditionalFormatting sqref="C22">
    <cfRule type="containsText" dxfId="6" priority="14" operator="containsText" text="โปรดเลือกรายการที่ต้องการประเมิน">
      <formula>NOT(ISERROR(SEARCH("โปรดเลือกรายการที่ต้องการประเมิน",C22)))</formula>
    </cfRule>
  </conditionalFormatting>
  <conditionalFormatting sqref="C25:C26">
    <cfRule type="containsText" dxfId="5" priority="13" operator="containsText" text="โปรดเลือกรายการที่ต้องการประเมิน">
      <formula>NOT(ISERROR(SEARCH("โปรดเลือกรายการที่ต้องการประเมิน",C25)))</formula>
    </cfRule>
  </conditionalFormatting>
  <conditionalFormatting sqref="C29:C30">
    <cfRule type="containsText" dxfId="4" priority="12" operator="containsText" text="โปรดเลือกรายการที่ต้องการประเมิน">
      <formula>NOT(ISERROR(SEARCH("โปรดเลือกรายการที่ต้องการประเมิน",C29)))</formula>
    </cfRule>
  </conditionalFormatting>
  <conditionalFormatting sqref="C33:C34">
    <cfRule type="containsText" dxfId="3" priority="11" operator="containsText" text="โปรดเลือกรายการที่ต้องการประเมิน">
      <formula>NOT(ISERROR(SEARCH("โปรดเลือกรายการที่ต้องการประเมิน",C33)))</formula>
    </cfRule>
  </conditionalFormatting>
  <conditionalFormatting sqref="K50:M50">
    <cfRule type="containsText" dxfId="2" priority="5" operator="containsText" text="คุณสมบัติเหมาะสมกับตำแหน่ง">
      <formula>NOT(ISERROR(SEARCH("คุณสมบัติเหมาะสมกับตำแหน่ง",K50)))</formula>
    </cfRule>
    <cfRule type="containsText" dxfId="1" priority="8" stopIfTrue="1" operator="containsText" text="โปรดระบุเหตุผล (Passed with condition):">
      <formula>NOT(ISERROR(SEARCH("โปรดระบุเหตุผล (Passed with condition):",K50)))</formula>
    </cfRule>
  </conditionalFormatting>
  <conditionalFormatting sqref="K51:O55">
    <cfRule type="cellIs" dxfId="0" priority="4" operator="notEqual">
      <formula>$K$50="โปรดระบุเหตุผล (Passed with condition):"</formula>
    </cfRule>
  </conditionalFormatting>
  <dataValidations count="6">
    <dataValidation type="list" allowBlank="1" showInputMessage="1" showErrorMessage="1" sqref="G28:H35" xr:uid="{60FB9BA5-C77A-4A1F-9A29-124431AC5F56}">
      <formula1>List_Willfit</formula1>
    </dataValidation>
    <dataValidation type="list" allowBlank="1" showInputMessage="1" showErrorMessage="1" sqref="I8:I35" xr:uid="{DDC69A82-6E43-4F7D-ADE9-4943BDE82BA3}">
      <formula1>$AC$5:$AC$23</formula1>
    </dataValidation>
    <dataValidation type="list" allowBlank="1" showInputMessage="1" showErrorMessage="1" sqref="J8:J35" xr:uid="{A6E4D70A-A31E-49F1-8A0B-B26EC4B58F31}">
      <formula1>$AC$5:$AC$11</formula1>
    </dataValidation>
    <dataValidation type="list" showInputMessage="1" showErrorMessage="1" sqref="G12:H19" xr:uid="{139F5A83-11D0-4EC5-82CE-318C752728DD}">
      <formula1>List_cando</formula1>
    </dataValidation>
    <dataValidation type="list" allowBlank="1" showInputMessage="1" showErrorMessage="1" sqref="G8:H11" xr:uid="{22640F14-3A74-4177-AE80-440D2E56ECC1}">
      <formula1>List_cando</formula1>
    </dataValidation>
    <dataValidation type="list" showInputMessage="1" showErrorMessage="1" sqref="G20:H27" xr:uid="{2DE530B2-615E-429E-B451-B29760AD8E43}">
      <formula1>List_Willdo</formula1>
    </dataValidation>
  </dataValidations>
  <pageMargins left="0.7" right="0.7" top="0.75" bottom="0.75" header="0.3" footer="0.3"/>
  <pageSetup scale="28" orientation="portrait" horizontalDpi="4294967292" verticalDpi="1200" r:id="rId1"/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81D19-E2B5-422A-A40B-BC444D0F94AD}">
  <dimension ref="A1:G99"/>
  <sheetViews>
    <sheetView view="pageBreakPreview" zoomScale="115" zoomScaleNormal="100" zoomScaleSheetLayoutView="115" workbookViewId="0">
      <selection activeCell="D3" sqref="D3"/>
    </sheetView>
  </sheetViews>
  <sheetFormatPr defaultRowHeight="23.25" x14ac:dyDescent="0.5"/>
  <cols>
    <col min="1" max="1" width="15" style="37" customWidth="1"/>
    <col min="2" max="2" width="94" style="3" customWidth="1"/>
    <col min="3" max="3" width="10" style="40" customWidth="1"/>
    <col min="4" max="4" width="94.7109375" style="2" customWidth="1"/>
    <col min="5" max="5" width="52.7109375" style="2" customWidth="1"/>
    <col min="6" max="6" width="18.28515625" style="2" customWidth="1"/>
    <col min="7" max="7" width="8.85546875" style="2"/>
  </cols>
  <sheetData>
    <row r="1" spans="1:6" ht="19.899999999999999" customHeight="1" x14ac:dyDescent="0.5">
      <c r="A1" s="58" t="s">
        <v>232</v>
      </c>
      <c r="B1" s="56" t="s">
        <v>233</v>
      </c>
      <c r="C1" s="53" t="s">
        <v>234</v>
      </c>
      <c r="D1" s="52" t="s">
        <v>235</v>
      </c>
      <c r="E1" s="52" t="s">
        <v>236</v>
      </c>
      <c r="F1" s="57" t="s">
        <v>237</v>
      </c>
    </row>
    <row r="2" spans="1:6" ht="19.899999999999999" customHeight="1" x14ac:dyDescent="0.5">
      <c r="A2" s="60">
        <v>1</v>
      </c>
      <c r="B2" s="94" t="str">
        <f>'Evaluate Interview form'!$T$5</f>
        <v>การคิดวิเคราะห์ &amp; การตัดสินใจ 
(Analytical Thinking &amp; Decision Making)</v>
      </c>
      <c r="C2" s="37">
        <v>1</v>
      </c>
      <c r="D2" s="51" t="s">
        <v>132</v>
      </c>
      <c r="E2" s="51"/>
      <c r="F2" s="36"/>
    </row>
    <row r="3" spans="1:6" ht="19.899999999999999" customHeight="1" x14ac:dyDescent="0.5">
      <c r="A3" s="59"/>
      <c r="B3" s="55" t="s">
        <v>238</v>
      </c>
      <c r="C3" s="37">
        <v>2</v>
      </c>
      <c r="D3" s="47" t="s">
        <v>208</v>
      </c>
      <c r="E3" s="47"/>
      <c r="F3" s="41"/>
    </row>
    <row r="4" spans="1:6" ht="19.899999999999999" customHeight="1" x14ac:dyDescent="0.5">
      <c r="A4" s="59"/>
      <c r="B4" s="44" t="s">
        <v>239</v>
      </c>
      <c r="C4" s="37">
        <v>3</v>
      </c>
      <c r="D4" s="47" t="s">
        <v>209</v>
      </c>
      <c r="E4" s="47"/>
      <c r="F4" s="41"/>
    </row>
    <row r="5" spans="1:6" ht="19.899999999999999" customHeight="1" x14ac:dyDescent="0.5">
      <c r="A5" s="59"/>
      <c r="B5" s="44" t="s">
        <v>240</v>
      </c>
      <c r="C5" s="37">
        <v>4</v>
      </c>
      <c r="D5" s="47" t="s">
        <v>210</v>
      </c>
      <c r="E5" s="47"/>
      <c r="F5" s="41"/>
    </row>
    <row r="6" spans="1:6" ht="19.899999999999999" customHeight="1" x14ac:dyDescent="0.5">
      <c r="A6" s="59"/>
      <c r="B6" s="44"/>
      <c r="C6" s="37">
        <v>5</v>
      </c>
      <c r="D6" s="47" t="s">
        <v>211</v>
      </c>
      <c r="E6" s="47"/>
      <c r="F6" s="41"/>
    </row>
    <row r="7" spans="1:6" ht="19.899999999999999" customHeight="1" x14ac:dyDescent="0.5">
      <c r="A7" s="59"/>
      <c r="B7" s="45"/>
      <c r="C7" s="37"/>
      <c r="D7" s="47"/>
      <c r="E7" s="47"/>
      <c r="F7" s="41"/>
    </row>
    <row r="8" spans="1:6" s="2" customFormat="1" ht="19.899999999999999" customHeight="1" x14ac:dyDescent="0.5">
      <c r="A8" s="59">
        <v>2</v>
      </c>
      <c r="B8" s="93" t="str">
        <f>'Evaluate Interview form'!$W$6</f>
        <v>การแก้ไขปัญหา 
(Problem Solving)</v>
      </c>
      <c r="C8" s="37">
        <v>1</v>
      </c>
      <c r="D8" s="47" t="s">
        <v>137</v>
      </c>
      <c r="E8" s="47"/>
      <c r="F8" s="41"/>
    </row>
    <row r="9" spans="1:6" s="2" customFormat="1" ht="19.899999999999999" customHeight="1" x14ac:dyDescent="0.5">
      <c r="A9" s="59"/>
      <c r="B9" s="55" t="s">
        <v>241</v>
      </c>
      <c r="C9" s="37">
        <v>2</v>
      </c>
      <c r="D9" s="47" t="s">
        <v>213</v>
      </c>
      <c r="E9" s="47"/>
      <c r="F9" s="41"/>
    </row>
    <row r="10" spans="1:6" s="2" customFormat="1" ht="19.899999999999999" customHeight="1" x14ac:dyDescent="0.5">
      <c r="A10" s="59"/>
      <c r="B10" s="55" t="s">
        <v>242</v>
      </c>
      <c r="C10" s="37">
        <v>3</v>
      </c>
      <c r="D10" s="47" t="s">
        <v>214</v>
      </c>
      <c r="E10" s="47"/>
      <c r="F10" s="41"/>
    </row>
    <row r="11" spans="1:6" s="2" customFormat="1" ht="19.899999999999999" customHeight="1" x14ac:dyDescent="0.5">
      <c r="A11" s="59"/>
      <c r="B11" s="55" t="s">
        <v>243</v>
      </c>
      <c r="C11" s="37">
        <v>4</v>
      </c>
      <c r="D11" s="47" t="s">
        <v>140</v>
      </c>
      <c r="E11" s="47"/>
      <c r="F11" s="41"/>
    </row>
    <row r="12" spans="1:6" s="2" customFormat="1" ht="19.899999999999999" customHeight="1" x14ac:dyDescent="0.5">
      <c r="A12" s="59"/>
      <c r="B12" s="55"/>
      <c r="C12" s="37">
        <v>5</v>
      </c>
      <c r="D12" s="47" t="s">
        <v>141</v>
      </c>
      <c r="E12" s="47"/>
      <c r="F12" s="41"/>
    </row>
    <row r="13" spans="1:6" s="2" customFormat="1" ht="19.899999999999999" customHeight="1" x14ac:dyDescent="0.5">
      <c r="A13" s="59"/>
      <c r="B13" s="46"/>
      <c r="C13" s="37"/>
      <c r="D13" s="47"/>
      <c r="E13" s="47"/>
      <c r="F13" s="41"/>
    </row>
    <row r="14" spans="1:6" s="2" customFormat="1" ht="19.899999999999999" customHeight="1" x14ac:dyDescent="0.5">
      <c r="A14" s="59">
        <v>3</v>
      </c>
      <c r="B14" s="95" t="s">
        <v>142</v>
      </c>
      <c r="C14" s="37">
        <v>1</v>
      </c>
      <c r="D14" s="47" t="s">
        <v>143</v>
      </c>
      <c r="E14" s="47"/>
      <c r="F14" s="41"/>
    </row>
    <row r="15" spans="1:6" s="2" customFormat="1" ht="19.899999999999999" customHeight="1" x14ac:dyDescent="0.5">
      <c r="A15" s="59"/>
      <c r="B15" s="55" t="s">
        <v>37</v>
      </c>
      <c r="C15" s="37">
        <v>2</v>
      </c>
      <c r="D15" s="47" t="s">
        <v>218</v>
      </c>
      <c r="E15" s="47"/>
      <c r="F15" s="41"/>
    </row>
    <row r="16" spans="1:6" s="2" customFormat="1" ht="19.899999999999999" customHeight="1" x14ac:dyDescent="0.5">
      <c r="A16" s="59"/>
      <c r="B16" s="55"/>
      <c r="C16" s="37">
        <v>3</v>
      </c>
      <c r="D16" s="47" t="s">
        <v>219</v>
      </c>
      <c r="E16" s="47"/>
      <c r="F16" s="41"/>
    </row>
    <row r="17" spans="1:6" s="2" customFormat="1" ht="19.899999999999999" customHeight="1" x14ac:dyDescent="0.5">
      <c r="A17" s="59"/>
      <c r="B17" s="55"/>
      <c r="C17" s="37">
        <v>4</v>
      </c>
      <c r="D17" s="47" t="s">
        <v>146</v>
      </c>
      <c r="E17" s="47"/>
      <c r="F17" s="41"/>
    </row>
    <row r="18" spans="1:6" s="2" customFormat="1" ht="19.899999999999999" customHeight="1" x14ac:dyDescent="0.5">
      <c r="A18" s="59"/>
      <c r="B18" s="55"/>
      <c r="C18" s="37">
        <v>5</v>
      </c>
      <c r="D18" s="47" t="s">
        <v>147</v>
      </c>
      <c r="E18" s="47"/>
      <c r="F18" s="41"/>
    </row>
    <row r="19" spans="1:6" s="2" customFormat="1" ht="19.899999999999999" customHeight="1" x14ac:dyDescent="0.5">
      <c r="A19" s="59"/>
      <c r="B19" s="46"/>
      <c r="C19" s="37"/>
      <c r="D19" s="47"/>
      <c r="E19" s="47"/>
      <c r="F19" s="41"/>
    </row>
    <row r="20" spans="1:6" s="2" customFormat="1" ht="19.899999999999999" customHeight="1" x14ac:dyDescent="0.5">
      <c r="A20" s="59">
        <v>4</v>
      </c>
      <c r="B20" s="93" t="str">
        <f>'Evaluate Interview form'!$W$9</f>
        <v>การวางแผนและการจัดระเบียบ 
(Planning &amp; Organizing)</v>
      </c>
      <c r="C20" s="37">
        <v>1</v>
      </c>
      <c r="D20" s="47" t="s">
        <v>148</v>
      </c>
      <c r="E20" s="47"/>
      <c r="F20" s="41"/>
    </row>
    <row r="21" spans="1:6" s="2" customFormat="1" ht="19.899999999999999" customHeight="1" x14ac:dyDescent="0.5">
      <c r="A21" s="59"/>
      <c r="B21" s="55" t="s">
        <v>60</v>
      </c>
      <c r="C21" s="37">
        <v>2</v>
      </c>
      <c r="D21" s="96" t="s">
        <v>149</v>
      </c>
      <c r="E21" s="47"/>
      <c r="F21" s="41"/>
    </row>
    <row r="22" spans="1:6" s="2" customFormat="1" ht="19.899999999999999" customHeight="1" x14ac:dyDescent="0.5">
      <c r="A22" s="59"/>
      <c r="B22" s="55" t="s">
        <v>244</v>
      </c>
      <c r="C22" s="37">
        <v>3</v>
      </c>
      <c r="D22" s="48" t="s">
        <v>150</v>
      </c>
      <c r="E22" s="47"/>
      <c r="F22" s="41"/>
    </row>
    <row r="23" spans="1:6" s="2" customFormat="1" ht="19.899999999999999" customHeight="1" x14ac:dyDescent="0.5">
      <c r="A23" s="59"/>
      <c r="B23" s="55"/>
      <c r="C23" s="37">
        <v>4</v>
      </c>
      <c r="D23" s="47" t="s">
        <v>220</v>
      </c>
      <c r="E23" s="47"/>
      <c r="F23" s="41"/>
    </row>
    <row r="24" spans="1:6" s="2" customFormat="1" ht="19.899999999999999" customHeight="1" x14ac:dyDescent="0.5">
      <c r="A24" s="59"/>
      <c r="B24" s="55"/>
      <c r="C24" s="37">
        <v>5</v>
      </c>
      <c r="D24" s="47" t="s">
        <v>221</v>
      </c>
      <c r="E24" s="47"/>
      <c r="F24" s="41"/>
    </row>
    <row r="25" spans="1:6" s="2" customFormat="1" ht="19.899999999999999" customHeight="1" x14ac:dyDescent="0.5">
      <c r="A25" s="59"/>
      <c r="B25" s="46"/>
      <c r="C25" s="37"/>
      <c r="D25" s="47"/>
      <c r="E25" s="47"/>
      <c r="F25" s="41"/>
    </row>
    <row r="26" spans="1:6" s="2" customFormat="1" ht="19.899999999999999" customHeight="1" x14ac:dyDescent="0.5">
      <c r="A26" s="59">
        <v>5</v>
      </c>
      <c r="B26" s="93" t="str">
        <f>'Evaluate Interview form'!$W$11</f>
        <v>ทักษะการสื่อสารและเจรจา 
(Communication &amp; Negotiation)</v>
      </c>
      <c r="C26" s="37">
        <v>1</v>
      </c>
      <c r="D26" s="47" t="s">
        <v>153</v>
      </c>
      <c r="E26" s="47"/>
      <c r="F26" s="41"/>
    </row>
    <row r="27" spans="1:6" s="2" customFormat="1" ht="19.899999999999999" customHeight="1" x14ac:dyDescent="0.5">
      <c r="A27" s="59"/>
      <c r="B27" s="55" t="s">
        <v>63</v>
      </c>
      <c r="C27" s="37">
        <v>2</v>
      </c>
      <c r="D27" s="47" t="s">
        <v>154</v>
      </c>
      <c r="E27" s="47"/>
      <c r="F27" s="41"/>
    </row>
    <row r="28" spans="1:6" s="2" customFormat="1" ht="19.899999999999999" customHeight="1" x14ac:dyDescent="0.5">
      <c r="A28" s="59"/>
      <c r="B28" s="55"/>
      <c r="C28" s="37">
        <v>3</v>
      </c>
      <c r="D28" s="47" t="s">
        <v>222</v>
      </c>
      <c r="E28" s="47"/>
      <c r="F28" s="41"/>
    </row>
    <row r="29" spans="1:6" s="2" customFormat="1" ht="19.899999999999999" customHeight="1" x14ac:dyDescent="0.5">
      <c r="A29" s="59"/>
      <c r="B29" s="55"/>
      <c r="C29" s="37">
        <v>4</v>
      </c>
      <c r="D29" s="47" t="s">
        <v>223</v>
      </c>
      <c r="E29" s="47"/>
      <c r="F29" s="41"/>
    </row>
    <row r="30" spans="1:6" s="2" customFormat="1" ht="19.899999999999999" customHeight="1" x14ac:dyDescent="0.5">
      <c r="A30" s="59"/>
      <c r="B30" s="55"/>
      <c r="C30" s="37">
        <v>5</v>
      </c>
      <c r="D30" s="47" t="s">
        <v>157</v>
      </c>
      <c r="E30" s="47"/>
      <c r="F30" s="41"/>
    </row>
    <row r="31" spans="1:6" s="2" customFormat="1" ht="19.899999999999999" customHeight="1" x14ac:dyDescent="0.5">
      <c r="A31" s="59"/>
      <c r="B31" s="46"/>
      <c r="C31" s="37"/>
      <c r="D31" s="47"/>
      <c r="E31" s="47"/>
      <c r="F31" s="41"/>
    </row>
    <row r="32" spans="1:6" s="2" customFormat="1" ht="19.899999999999999" customHeight="1" x14ac:dyDescent="0.5">
      <c r="A32" s="59">
        <v>6</v>
      </c>
      <c r="B32" s="93" t="str">
        <f>'Evaluate Interview form'!$W$14</f>
        <v>ความกระตือรือร้น &amp; ทัศนคติเชิงบวก
 (Proactive &amp; Growth Mindset)</v>
      </c>
      <c r="C32" s="42">
        <v>1</v>
      </c>
      <c r="D32" s="50" t="s">
        <v>158</v>
      </c>
      <c r="E32" s="47"/>
      <c r="F32" s="41"/>
    </row>
    <row r="33" spans="1:7" s="2" customFormat="1" ht="19.899999999999999" customHeight="1" x14ac:dyDescent="0.5">
      <c r="A33" s="59"/>
      <c r="B33" s="55" t="s">
        <v>245</v>
      </c>
      <c r="C33" s="37">
        <v>2</v>
      </c>
      <c r="D33" s="47" t="s">
        <v>159</v>
      </c>
      <c r="E33" s="47"/>
      <c r="F33" s="41"/>
    </row>
    <row r="34" spans="1:7" s="2" customFormat="1" ht="19.899999999999999" customHeight="1" x14ac:dyDescent="0.5">
      <c r="A34" s="59"/>
      <c r="B34" s="44"/>
      <c r="C34" s="37">
        <v>3</v>
      </c>
      <c r="D34" s="47" t="s">
        <v>160</v>
      </c>
      <c r="E34" s="47"/>
      <c r="F34" s="41"/>
    </row>
    <row r="35" spans="1:7" s="2" customFormat="1" ht="19.899999999999999" customHeight="1" x14ac:dyDescent="0.5">
      <c r="A35" s="59"/>
      <c r="B35" s="44"/>
      <c r="C35" s="37">
        <v>4</v>
      </c>
      <c r="D35" s="47" t="s">
        <v>161</v>
      </c>
      <c r="E35" s="47"/>
      <c r="F35" s="41"/>
    </row>
    <row r="36" spans="1:7" s="2" customFormat="1" ht="19.899999999999999" customHeight="1" x14ac:dyDescent="0.5">
      <c r="A36" s="59"/>
      <c r="B36" s="44"/>
      <c r="C36" s="37">
        <v>5</v>
      </c>
      <c r="D36" s="47" t="s">
        <v>224</v>
      </c>
      <c r="E36" s="47"/>
      <c r="F36" s="41"/>
    </row>
    <row r="37" spans="1:7" s="2" customFormat="1" ht="19.899999999999999" customHeight="1" x14ac:dyDescent="0.5">
      <c r="A37" s="59"/>
      <c r="B37" s="46"/>
      <c r="C37" s="37"/>
      <c r="D37" s="47"/>
      <c r="E37" s="47"/>
      <c r="F37" s="41"/>
    </row>
    <row r="38" spans="1:7" ht="19.899999999999999" customHeight="1" x14ac:dyDescent="0.5">
      <c r="A38" s="59">
        <v>7</v>
      </c>
      <c r="B38" s="93" t="str">
        <f>'Evaluate Interview form'!$Z$6</f>
        <v>การปรับตัว &amp; การทำงานร่วมกันเป็นทีม
(Adaptability &amp; Teamwork)</v>
      </c>
      <c r="C38" s="37">
        <v>1</v>
      </c>
      <c r="D38" s="47" t="s">
        <v>163</v>
      </c>
      <c r="E38" s="49"/>
      <c r="F38" s="39"/>
      <c r="G38" s="38"/>
    </row>
    <row r="39" spans="1:7" ht="19.899999999999999" customHeight="1" x14ac:dyDescent="0.5">
      <c r="A39" s="59"/>
      <c r="B39" s="55" t="s">
        <v>246</v>
      </c>
      <c r="C39" s="37">
        <v>2</v>
      </c>
      <c r="D39" s="47" t="s">
        <v>164</v>
      </c>
      <c r="E39" s="49"/>
      <c r="F39" s="39"/>
      <c r="G39" s="38"/>
    </row>
    <row r="40" spans="1:7" ht="19.899999999999999" customHeight="1" x14ac:dyDescent="0.5">
      <c r="A40" s="59"/>
      <c r="B40" s="44" t="s">
        <v>247</v>
      </c>
      <c r="C40" s="37">
        <v>3</v>
      </c>
      <c r="D40" s="47" t="s">
        <v>165</v>
      </c>
      <c r="E40" s="49"/>
      <c r="F40" s="39"/>
      <c r="G40" s="38"/>
    </row>
    <row r="41" spans="1:7" ht="19.899999999999999" customHeight="1" x14ac:dyDescent="0.5">
      <c r="A41" s="59"/>
      <c r="B41" s="44"/>
      <c r="C41" s="37">
        <v>4</v>
      </c>
      <c r="D41" s="47" t="s">
        <v>166</v>
      </c>
      <c r="E41" s="49"/>
      <c r="F41" s="39"/>
      <c r="G41" s="38"/>
    </row>
    <row r="42" spans="1:7" ht="19.899999999999999" customHeight="1" x14ac:dyDescent="0.5">
      <c r="A42" s="59"/>
      <c r="B42" s="44"/>
      <c r="C42" s="37">
        <v>5</v>
      </c>
      <c r="D42" s="47" t="s">
        <v>225</v>
      </c>
      <c r="E42" s="49"/>
      <c r="F42" s="39"/>
      <c r="G42" s="38"/>
    </row>
    <row r="43" spans="1:7" ht="19.899999999999999" customHeight="1" x14ac:dyDescent="0.5">
      <c r="A43" s="59"/>
      <c r="B43" s="44"/>
      <c r="C43" s="37"/>
      <c r="D43" s="47"/>
      <c r="E43" s="47"/>
      <c r="F43" s="41"/>
    </row>
    <row r="44" spans="1:7" ht="19.899999999999999" customHeight="1" x14ac:dyDescent="0.5">
      <c r="A44" s="59">
        <v>8</v>
      </c>
      <c r="B44" s="93" t="str">
        <f>'Evaluate Interview form (Demo)'!$W$8</f>
        <v>ความฉับไวในการเรียนรู้ 
(Learning Agility)</v>
      </c>
      <c r="C44" s="37">
        <v>1</v>
      </c>
      <c r="D44" s="47" t="s">
        <v>168</v>
      </c>
      <c r="E44" s="50"/>
      <c r="F44" s="41"/>
    </row>
    <row r="45" spans="1:7" ht="19.899999999999999" customHeight="1" x14ac:dyDescent="0.5">
      <c r="A45" s="59"/>
      <c r="B45" s="55" t="s">
        <v>52</v>
      </c>
      <c r="C45" s="37">
        <v>2</v>
      </c>
      <c r="D45" s="47" t="s">
        <v>169</v>
      </c>
      <c r="E45" s="47"/>
      <c r="F45" s="41"/>
    </row>
    <row r="46" spans="1:7" ht="19.899999999999999" customHeight="1" x14ac:dyDescent="0.5">
      <c r="A46" s="59"/>
      <c r="B46" s="55" t="s">
        <v>248</v>
      </c>
      <c r="C46" s="37">
        <v>3</v>
      </c>
      <c r="D46" s="47" t="s">
        <v>170</v>
      </c>
      <c r="E46" s="47"/>
      <c r="F46" s="41"/>
    </row>
    <row r="47" spans="1:7" ht="19.899999999999999" customHeight="1" x14ac:dyDescent="0.5">
      <c r="A47" s="59"/>
      <c r="B47" s="55"/>
      <c r="C47" s="37">
        <v>4</v>
      </c>
      <c r="D47" s="47" t="s">
        <v>171</v>
      </c>
      <c r="E47" s="47"/>
      <c r="F47" s="41"/>
    </row>
    <row r="48" spans="1:7" ht="19.899999999999999" customHeight="1" x14ac:dyDescent="0.5">
      <c r="A48" s="59"/>
      <c r="B48" s="55"/>
      <c r="C48" s="37">
        <v>5</v>
      </c>
      <c r="D48" s="47" t="s">
        <v>172</v>
      </c>
      <c r="E48" s="47"/>
      <c r="F48" s="41"/>
    </row>
    <row r="49" spans="1:6" ht="19.899999999999999" customHeight="1" x14ac:dyDescent="0.5">
      <c r="A49" s="59"/>
      <c r="B49" s="44"/>
      <c r="C49" s="37"/>
      <c r="D49" s="47"/>
      <c r="E49" s="47"/>
      <c r="F49" s="41"/>
    </row>
    <row r="50" spans="1:6" s="2" customFormat="1" ht="19.899999999999999" customHeight="1" x14ac:dyDescent="0.5">
      <c r="A50" s="59">
        <v>9</v>
      </c>
      <c r="B50" s="93" t="str">
        <f>'Evaluate Interview form'!$W$15</f>
        <v>พัฒนาทักษะตัวเองอยู่เสมอ 
(Self-Development)</v>
      </c>
      <c r="C50" s="37">
        <v>1</v>
      </c>
      <c r="D50" s="47" t="s">
        <v>173</v>
      </c>
      <c r="E50" s="47"/>
      <c r="F50" s="41"/>
    </row>
    <row r="51" spans="1:6" s="2" customFormat="1" ht="19.899999999999999" customHeight="1" x14ac:dyDescent="0.5">
      <c r="A51" s="59"/>
      <c r="B51" s="55" t="s">
        <v>27</v>
      </c>
      <c r="C51" s="37">
        <v>2</v>
      </c>
      <c r="D51" s="47" t="s">
        <v>174</v>
      </c>
      <c r="E51" s="47"/>
      <c r="F51" s="41"/>
    </row>
    <row r="52" spans="1:6" s="2" customFormat="1" ht="19.899999999999999" customHeight="1" x14ac:dyDescent="0.5">
      <c r="A52" s="59"/>
      <c r="B52" s="44"/>
      <c r="C52" s="37">
        <v>3</v>
      </c>
      <c r="D52" s="47" t="s">
        <v>175</v>
      </c>
      <c r="E52" s="47"/>
      <c r="F52" s="41"/>
    </row>
    <row r="53" spans="1:6" s="2" customFormat="1" ht="19.899999999999999" customHeight="1" x14ac:dyDescent="0.5">
      <c r="A53" s="59"/>
      <c r="B53" s="44"/>
      <c r="C53" s="37">
        <v>4</v>
      </c>
      <c r="D53" s="47" t="s">
        <v>176</v>
      </c>
      <c r="E53" s="47"/>
      <c r="F53" s="41"/>
    </row>
    <row r="54" spans="1:6" s="2" customFormat="1" ht="19.899999999999999" customHeight="1" x14ac:dyDescent="0.5">
      <c r="A54" s="59"/>
      <c r="B54" s="44"/>
      <c r="C54" s="37">
        <v>5</v>
      </c>
      <c r="D54" s="47" t="s">
        <v>177</v>
      </c>
      <c r="E54" s="47"/>
      <c r="F54" s="41"/>
    </row>
    <row r="55" spans="1:6" s="2" customFormat="1" ht="19.899999999999999" customHeight="1" x14ac:dyDescent="0.5">
      <c r="A55" s="59"/>
      <c r="B55" s="44"/>
      <c r="C55" s="37"/>
      <c r="D55" s="47"/>
      <c r="E55" s="47"/>
      <c r="F55" s="41"/>
    </row>
    <row r="56" spans="1:6" s="2" customFormat="1" ht="19.899999999999999" customHeight="1" x14ac:dyDescent="0.5">
      <c r="A56" s="59">
        <v>10</v>
      </c>
      <c r="B56" s="93" t="str">
        <f>'Evaluate Interview form'!$W$16</f>
        <v>เข้าใจและตอบสนองความต้องการ &amp; ใจรักการบริการ
 (Customer Focus &amp; Service Mindset)</v>
      </c>
      <c r="C56" s="37">
        <v>1</v>
      </c>
      <c r="D56" s="47" t="s">
        <v>178</v>
      </c>
      <c r="E56" s="47"/>
      <c r="F56" s="41"/>
    </row>
    <row r="57" spans="1:6" s="2" customFormat="1" ht="19.899999999999999" customHeight="1" x14ac:dyDescent="0.5">
      <c r="A57" s="59"/>
      <c r="B57" s="55" t="s">
        <v>75</v>
      </c>
      <c r="C57" s="37">
        <v>2</v>
      </c>
      <c r="D57" s="47" t="s">
        <v>226</v>
      </c>
      <c r="E57" s="47"/>
      <c r="F57" s="41"/>
    </row>
    <row r="58" spans="1:6" s="2" customFormat="1" ht="19.899999999999999" customHeight="1" x14ac:dyDescent="0.5">
      <c r="A58" s="59"/>
      <c r="B58" s="44"/>
      <c r="C58" s="37">
        <v>3</v>
      </c>
      <c r="D58" s="47" t="s">
        <v>227</v>
      </c>
      <c r="E58" s="47"/>
      <c r="F58" s="41"/>
    </row>
    <row r="59" spans="1:6" s="2" customFormat="1" ht="19.899999999999999" customHeight="1" x14ac:dyDescent="0.5">
      <c r="A59" s="59"/>
      <c r="B59" s="44"/>
      <c r="C59" s="37">
        <v>4</v>
      </c>
      <c r="D59" s="47" t="s">
        <v>228</v>
      </c>
      <c r="E59" s="47"/>
      <c r="F59" s="41"/>
    </row>
    <row r="60" spans="1:6" s="2" customFormat="1" ht="19.899999999999999" customHeight="1" x14ac:dyDescent="0.5">
      <c r="A60" s="59"/>
      <c r="B60" s="44"/>
      <c r="C60" s="37">
        <v>5</v>
      </c>
      <c r="D60" s="47" t="s">
        <v>229</v>
      </c>
      <c r="E60" s="47"/>
      <c r="F60" s="41"/>
    </row>
    <row r="61" spans="1:6" s="2" customFormat="1" ht="19.899999999999999" customHeight="1" x14ac:dyDescent="0.5">
      <c r="A61" s="59"/>
      <c r="B61" s="44"/>
      <c r="C61" s="37"/>
      <c r="D61" s="47"/>
      <c r="E61" s="47"/>
      <c r="F61" s="41"/>
    </row>
    <row r="62" spans="1:6" s="2" customFormat="1" ht="19.899999999999999" customHeight="1" x14ac:dyDescent="0.5">
      <c r="A62" s="59">
        <v>11</v>
      </c>
      <c r="B62" s="93" t="str">
        <f>'Evaluate Interview form'!$W$13</f>
        <v>รับผิดชอบงานของตนเอง 
(Accountability / Ownership)</v>
      </c>
      <c r="C62" s="37">
        <v>1</v>
      </c>
      <c r="D62" s="49" t="s">
        <v>183</v>
      </c>
      <c r="E62" s="47"/>
      <c r="F62" s="41"/>
    </row>
    <row r="63" spans="1:6" s="2" customFormat="1" ht="19.899999999999999" customHeight="1" x14ac:dyDescent="0.5">
      <c r="A63" s="59"/>
      <c r="B63" s="55" t="s">
        <v>84</v>
      </c>
      <c r="C63" s="37">
        <v>2</v>
      </c>
      <c r="D63" s="49" t="s">
        <v>184</v>
      </c>
      <c r="E63" s="47"/>
      <c r="F63" s="41"/>
    </row>
    <row r="64" spans="1:6" s="2" customFormat="1" ht="19.899999999999999" customHeight="1" x14ac:dyDescent="0.5">
      <c r="A64" s="59"/>
      <c r="B64" s="44" t="s">
        <v>249</v>
      </c>
      <c r="C64" s="37">
        <v>3</v>
      </c>
      <c r="D64" s="49" t="s">
        <v>230</v>
      </c>
      <c r="E64" s="47"/>
      <c r="F64" s="41"/>
    </row>
    <row r="65" spans="1:6" s="2" customFormat="1" ht="19.899999999999999" customHeight="1" x14ac:dyDescent="0.5">
      <c r="A65" s="59"/>
      <c r="B65" s="44"/>
      <c r="C65" s="37">
        <v>4</v>
      </c>
      <c r="D65" s="49" t="s">
        <v>231</v>
      </c>
      <c r="E65" s="47"/>
      <c r="F65" s="41"/>
    </row>
    <row r="66" spans="1:6" s="2" customFormat="1" ht="19.899999999999999" customHeight="1" x14ac:dyDescent="0.5">
      <c r="A66" s="59"/>
      <c r="B66" s="44"/>
      <c r="C66" s="37">
        <v>5</v>
      </c>
      <c r="D66" s="49" t="s">
        <v>187</v>
      </c>
      <c r="E66" s="47"/>
      <c r="F66" s="41"/>
    </row>
    <row r="67" spans="1:6" s="2" customFormat="1" ht="19.899999999999999" customHeight="1" x14ac:dyDescent="0.5">
      <c r="A67" s="59"/>
      <c r="B67" s="44"/>
      <c r="C67" s="37"/>
      <c r="D67" s="47"/>
      <c r="E67" s="47"/>
      <c r="F67" s="41"/>
    </row>
    <row r="68" spans="1:6" s="2" customFormat="1" ht="19.899999999999999" customHeight="1" x14ac:dyDescent="0.5">
      <c r="A68" s="59">
        <v>12</v>
      </c>
      <c r="B68" s="93" t="str">
        <f>'Evaluate Interview form'!$Z$9</f>
        <v>มีความซื่อสัตย์ในการทำงาน 
(Work Ethic)</v>
      </c>
      <c r="C68" s="37">
        <v>1</v>
      </c>
      <c r="D68" s="47" t="s">
        <v>188</v>
      </c>
      <c r="E68" s="47"/>
      <c r="F68" s="41"/>
    </row>
    <row r="69" spans="1:6" s="2" customFormat="1" ht="19.899999999999999" customHeight="1" x14ac:dyDescent="0.5">
      <c r="A69" s="59"/>
      <c r="B69" s="55" t="s">
        <v>66</v>
      </c>
      <c r="C69" s="37">
        <v>2</v>
      </c>
      <c r="D69" s="47" t="s">
        <v>189</v>
      </c>
      <c r="E69" s="47"/>
      <c r="F69" s="41"/>
    </row>
    <row r="70" spans="1:6" s="2" customFormat="1" ht="19.899999999999999" customHeight="1" x14ac:dyDescent="0.5">
      <c r="A70" s="59"/>
      <c r="B70" s="44"/>
      <c r="C70" s="37">
        <v>3</v>
      </c>
      <c r="D70" s="47" t="s">
        <v>190</v>
      </c>
      <c r="E70" s="47"/>
      <c r="F70" s="41"/>
    </row>
    <row r="71" spans="1:6" s="2" customFormat="1" ht="19.899999999999999" customHeight="1" x14ac:dyDescent="0.5">
      <c r="A71" s="59"/>
      <c r="B71" s="44"/>
      <c r="C71" s="37">
        <v>4</v>
      </c>
      <c r="D71" s="47" t="s">
        <v>191</v>
      </c>
      <c r="E71" s="47"/>
      <c r="F71" s="41"/>
    </row>
    <row r="72" spans="1:6" s="2" customFormat="1" ht="19.899999999999999" customHeight="1" x14ac:dyDescent="0.5">
      <c r="A72" s="59"/>
      <c r="B72" s="44"/>
      <c r="C72" s="37">
        <v>5</v>
      </c>
      <c r="D72" s="47" t="s">
        <v>192</v>
      </c>
      <c r="E72" s="47"/>
      <c r="F72" s="41"/>
    </row>
    <row r="73" spans="1:6" s="2" customFormat="1" ht="19.899999999999999" customHeight="1" x14ac:dyDescent="0.5">
      <c r="A73" s="59"/>
      <c r="B73" s="44"/>
      <c r="C73" s="37"/>
      <c r="D73" s="47"/>
      <c r="E73" s="47"/>
      <c r="F73" s="41"/>
    </row>
    <row r="74" spans="1:6" s="2" customFormat="1" x14ac:dyDescent="0.5">
      <c r="A74" s="37"/>
      <c r="C74" s="37"/>
    </row>
    <row r="75" spans="1:6" s="2" customFormat="1" x14ac:dyDescent="0.5">
      <c r="A75" s="37"/>
      <c r="C75" s="37"/>
    </row>
    <row r="76" spans="1:6" s="2" customFormat="1" x14ac:dyDescent="0.5">
      <c r="A76" s="37"/>
      <c r="C76" s="37"/>
    </row>
    <row r="77" spans="1:6" s="2" customFormat="1" x14ac:dyDescent="0.5">
      <c r="A77" s="37"/>
      <c r="C77" s="37"/>
    </row>
    <row r="78" spans="1:6" s="2" customFormat="1" x14ac:dyDescent="0.5">
      <c r="A78" s="37"/>
      <c r="C78" s="37"/>
    </row>
    <row r="79" spans="1:6" s="2" customFormat="1" x14ac:dyDescent="0.5">
      <c r="A79" s="37"/>
      <c r="C79" s="37"/>
    </row>
    <row r="80" spans="1:6" s="2" customFormat="1" x14ac:dyDescent="0.5">
      <c r="A80" s="37"/>
      <c r="C80" s="37"/>
    </row>
    <row r="81" spans="1:3" s="2" customFormat="1" x14ac:dyDescent="0.5">
      <c r="A81" s="37"/>
      <c r="C81" s="37"/>
    </row>
    <row r="82" spans="1:3" s="2" customFormat="1" x14ac:dyDescent="0.5">
      <c r="A82" s="37"/>
      <c r="C82" s="37"/>
    </row>
    <row r="83" spans="1:3" s="2" customFormat="1" x14ac:dyDescent="0.5">
      <c r="A83" s="37"/>
      <c r="C83" s="37"/>
    </row>
    <row r="84" spans="1:3" s="2" customFormat="1" x14ac:dyDescent="0.5">
      <c r="A84" s="37"/>
      <c r="C84" s="37"/>
    </row>
    <row r="85" spans="1:3" s="2" customFormat="1" x14ac:dyDescent="0.5">
      <c r="A85" s="37"/>
      <c r="C85" s="37"/>
    </row>
    <row r="86" spans="1:3" s="2" customFormat="1" x14ac:dyDescent="0.5">
      <c r="A86" s="37"/>
      <c r="C86" s="37"/>
    </row>
    <row r="87" spans="1:3" s="2" customFormat="1" x14ac:dyDescent="0.5">
      <c r="A87" s="37"/>
      <c r="C87" s="37"/>
    </row>
    <row r="88" spans="1:3" s="2" customFormat="1" x14ac:dyDescent="0.5">
      <c r="A88" s="37"/>
      <c r="C88" s="37"/>
    </row>
    <row r="89" spans="1:3" s="2" customFormat="1" x14ac:dyDescent="0.5">
      <c r="A89" s="37"/>
      <c r="C89" s="37"/>
    </row>
    <row r="90" spans="1:3" s="2" customFormat="1" x14ac:dyDescent="0.5">
      <c r="A90" s="37"/>
      <c r="C90" s="37"/>
    </row>
    <row r="91" spans="1:3" s="2" customFormat="1" x14ac:dyDescent="0.5">
      <c r="A91" s="37"/>
      <c r="C91" s="37"/>
    </row>
    <row r="92" spans="1:3" s="2" customFormat="1" x14ac:dyDescent="0.5">
      <c r="A92" s="37"/>
      <c r="C92" s="37"/>
    </row>
    <row r="93" spans="1:3" s="2" customFormat="1" x14ac:dyDescent="0.5">
      <c r="A93" s="37"/>
      <c r="C93" s="37"/>
    </row>
    <row r="94" spans="1:3" s="2" customFormat="1" x14ac:dyDescent="0.5">
      <c r="A94" s="37"/>
      <c r="C94" s="37"/>
    </row>
    <row r="95" spans="1:3" s="2" customFormat="1" x14ac:dyDescent="0.5">
      <c r="A95" s="37"/>
      <c r="C95" s="37"/>
    </row>
    <row r="96" spans="1:3" s="2" customFormat="1" x14ac:dyDescent="0.5">
      <c r="A96" s="37"/>
      <c r="C96" s="37"/>
    </row>
    <row r="97" spans="1:3" s="2" customFormat="1" x14ac:dyDescent="0.5">
      <c r="A97" s="37"/>
      <c r="C97" s="37"/>
    </row>
    <row r="98" spans="1:3" s="2" customFormat="1" x14ac:dyDescent="0.5">
      <c r="A98" s="37"/>
      <c r="C98" s="37"/>
    </row>
    <row r="99" spans="1:3" s="2" customFormat="1" x14ac:dyDescent="0.5">
      <c r="A99" s="37"/>
      <c r="C99" s="37"/>
    </row>
  </sheetData>
  <sheetProtection algorithmName="SHA-512" hashValue="jRtjbOaJHcVUt8gXLCYAa+HEsmiXEleik9T9eObobQJCvSZSevHzEAV1TtVjrYVwQaVHHvNGfX1S2a98Xp6Zyw==" saltValue="5EjZ4jtbeZz/JQG0D5KSew==" spinCount="100000" sheet="1" objects="1" scenarios="1"/>
  <pageMargins left="0.25" right="0.25" top="0.75" bottom="0.75" header="0.3" footer="0.3"/>
  <pageSetup scale="26" orientation="portrait" horizontalDpi="4294967292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EE539-8191-485F-96E9-C47B960D66A8}">
  <dimension ref="A1:G99"/>
  <sheetViews>
    <sheetView view="pageBreakPreview" topLeftCell="A49" zoomScale="70" zoomScaleNormal="100" zoomScaleSheetLayoutView="70" workbookViewId="0">
      <selection activeCell="D53" sqref="D53"/>
    </sheetView>
  </sheetViews>
  <sheetFormatPr defaultRowHeight="23.25" x14ac:dyDescent="0.5"/>
  <cols>
    <col min="1" max="1" width="15" style="37" customWidth="1"/>
    <col min="2" max="2" width="94" style="3" customWidth="1"/>
    <col min="3" max="3" width="10" style="40" customWidth="1"/>
    <col min="4" max="4" width="94.7109375" style="2" customWidth="1"/>
    <col min="5" max="5" width="52.7109375" style="2" customWidth="1"/>
    <col min="6" max="6" width="18.28515625" style="2" customWidth="1"/>
    <col min="7" max="7" width="8.85546875" style="2"/>
  </cols>
  <sheetData>
    <row r="1" spans="1:6" ht="19.899999999999999" customHeight="1" x14ac:dyDescent="0.5">
      <c r="A1" s="58" t="s">
        <v>232</v>
      </c>
      <c r="B1" s="56" t="s">
        <v>233</v>
      </c>
      <c r="C1" s="53" t="s">
        <v>234</v>
      </c>
      <c r="D1" s="52" t="s">
        <v>235</v>
      </c>
      <c r="E1" s="52" t="s">
        <v>236</v>
      </c>
      <c r="F1" s="57" t="s">
        <v>237</v>
      </c>
    </row>
    <row r="2" spans="1:6" ht="19.899999999999999" customHeight="1" x14ac:dyDescent="0.5">
      <c r="A2" s="60">
        <v>1</v>
      </c>
      <c r="B2" s="94" t="str">
        <f>'Evaluate Interview form'!$T$5</f>
        <v>การคิดวิเคราะห์ &amp; การตัดสินใจ 
(Analytical Thinking &amp; Decision Making)</v>
      </c>
      <c r="C2" s="37">
        <v>1</v>
      </c>
      <c r="D2" s="51" t="s">
        <v>132</v>
      </c>
      <c r="E2" s="51"/>
      <c r="F2" s="36"/>
    </row>
    <row r="3" spans="1:6" ht="19.899999999999999" customHeight="1" x14ac:dyDescent="0.5">
      <c r="A3" s="59"/>
      <c r="B3" s="55" t="s">
        <v>238</v>
      </c>
      <c r="C3" s="37">
        <v>2</v>
      </c>
      <c r="D3" s="47" t="s">
        <v>208</v>
      </c>
      <c r="E3" s="47"/>
      <c r="F3" s="41"/>
    </row>
    <row r="4" spans="1:6" ht="19.899999999999999" customHeight="1" x14ac:dyDescent="0.5">
      <c r="A4" s="59"/>
      <c r="B4" s="44" t="s">
        <v>239</v>
      </c>
      <c r="C4" s="37">
        <v>3</v>
      </c>
      <c r="D4" s="47" t="s">
        <v>209</v>
      </c>
      <c r="E4" s="47"/>
      <c r="F4" s="41"/>
    </row>
    <row r="5" spans="1:6" ht="19.899999999999999" customHeight="1" x14ac:dyDescent="0.5">
      <c r="A5" s="59"/>
      <c r="B5" s="44" t="s">
        <v>240</v>
      </c>
      <c r="C5" s="37">
        <v>4</v>
      </c>
      <c r="D5" s="47" t="s">
        <v>210</v>
      </c>
      <c r="E5" s="47"/>
      <c r="F5" s="41"/>
    </row>
    <row r="6" spans="1:6" ht="19.899999999999999" customHeight="1" x14ac:dyDescent="0.5">
      <c r="A6" s="59"/>
      <c r="B6" s="44"/>
      <c r="C6" s="37">
        <v>5</v>
      </c>
      <c r="D6" s="47" t="s">
        <v>211</v>
      </c>
      <c r="E6" s="47"/>
      <c r="F6" s="41"/>
    </row>
    <row r="7" spans="1:6" ht="19.899999999999999" customHeight="1" x14ac:dyDescent="0.5">
      <c r="A7" s="59"/>
      <c r="B7" s="45"/>
      <c r="C7" s="37"/>
      <c r="D7" s="47"/>
      <c r="E7" s="47"/>
      <c r="F7" s="41"/>
    </row>
    <row r="8" spans="1:6" s="2" customFormat="1" ht="19.899999999999999" customHeight="1" x14ac:dyDescent="0.5">
      <c r="A8" s="59">
        <v>2</v>
      </c>
      <c r="B8" s="93" t="str">
        <f>'Evaluate Interview form'!$W$6</f>
        <v>การแก้ไขปัญหา 
(Problem Solving)</v>
      </c>
      <c r="C8" s="37">
        <v>1</v>
      </c>
      <c r="D8" s="47" t="s">
        <v>137</v>
      </c>
      <c r="E8" s="47"/>
      <c r="F8" s="41"/>
    </row>
    <row r="9" spans="1:6" s="2" customFormat="1" ht="19.899999999999999" customHeight="1" x14ac:dyDescent="0.5">
      <c r="A9" s="59"/>
      <c r="B9" s="55" t="s">
        <v>241</v>
      </c>
      <c r="C9" s="37">
        <v>2</v>
      </c>
      <c r="D9" s="47" t="s">
        <v>213</v>
      </c>
      <c r="E9" s="47"/>
      <c r="F9" s="41"/>
    </row>
    <row r="10" spans="1:6" s="2" customFormat="1" ht="19.899999999999999" customHeight="1" x14ac:dyDescent="0.5">
      <c r="A10" s="59"/>
      <c r="B10" s="55" t="s">
        <v>242</v>
      </c>
      <c r="C10" s="37">
        <v>3</v>
      </c>
      <c r="D10" s="47" t="s">
        <v>214</v>
      </c>
      <c r="E10" s="47"/>
      <c r="F10" s="41"/>
    </row>
    <row r="11" spans="1:6" s="2" customFormat="1" ht="19.899999999999999" customHeight="1" x14ac:dyDescent="0.5">
      <c r="A11" s="59"/>
      <c r="B11" s="55" t="s">
        <v>243</v>
      </c>
      <c r="C11" s="37">
        <v>4</v>
      </c>
      <c r="D11" s="47" t="s">
        <v>140</v>
      </c>
      <c r="E11" s="47"/>
      <c r="F11" s="41"/>
    </row>
    <row r="12" spans="1:6" s="2" customFormat="1" ht="19.899999999999999" customHeight="1" x14ac:dyDescent="0.5">
      <c r="A12" s="59"/>
      <c r="B12" s="55"/>
      <c r="C12" s="37">
        <v>5</v>
      </c>
      <c r="D12" s="47" t="s">
        <v>141</v>
      </c>
      <c r="E12" s="47"/>
      <c r="F12" s="41"/>
    </row>
    <row r="13" spans="1:6" s="2" customFormat="1" ht="19.899999999999999" customHeight="1" x14ac:dyDescent="0.5">
      <c r="A13" s="59"/>
      <c r="B13" s="46"/>
      <c r="C13" s="37"/>
      <c r="D13" s="47"/>
      <c r="E13" s="47"/>
      <c r="F13" s="41"/>
    </row>
    <row r="14" spans="1:6" s="2" customFormat="1" ht="19.899999999999999" customHeight="1" x14ac:dyDescent="0.5">
      <c r="A14" s="59">
        <v>3</v>
      </c>
      <c r="B14" s="95" t="s">
        <v>142</v>
      </c>
      <c r="C14" s="37">
        <v>1</v>
      </c>
      <c r="D14" s="47" t="s">
        <v>143</v>
      </c>
      <c r="E14" s="47"/>
      <c r="F14" s="41"/>
    </row>
    <row r="15" spans="1:6" s="2" customFormat="1" ht="19.899999999999999" customHeight="1" x14ac:dyDescent="0.5">
      <c r="A15" s="59"/>
      <c r="B15" s="55" t="s">
        <v>37</v>
      </c>
      <c r="C15" s="37">
        <v>2</v>
      </c>
      <c r="D15" s="47" t="s">
        <v>218</v>
      </c>
      <c r="E15" s="47"/>
      <c r="F15" s="41"/>
    </row>
    <row r="16" spans="1:6" s="2" customFormat="1" ht="19.899999999999999" customHeight="1" x14ac:dyDescent="0.5">
      <c r="A16" s="59"/>
      <c r="B16" s="55"/>
      <c r="C16" s="37">
        <v>3</v>
      </c>
      <c r="D16" s="47" t="s">
        <v>219</v>
      </c>
      <c r="E16" s="47"/>
      <c r="F16" s="41"/>
    </row>
    <row r="17" spans="1:6" s="2" customFormat="1" ht="19.899999999999999" customHeight="1" x14ac:dyDescent="0.5">
      <c r="A17" s="59"/>
      <c r="B17" s="55"/>
      <c r="C17" s="37">
        <v>4</v>
      </c>
      <c r="D17" s="47" t="s">
        <v>146</v>
      </c>
      <c r="E17" s="47"/>
      <c r="F17" s="41"/>
    </row>
    <row r="18" spans="1:6" s="2" customFormat="1" ht="19.899999999999999" customHeight="1" x14ac:dyDescent="0.5">
      <c r="A18" s="59"/>
      <c r="B18" s="55"/>
      <c r="C18" s="37">
        <v>5</v>
      </c>
      <c r="D18" s="47" t="s">
        <v>147</v>
      </c>
      <c r="E18" s="47"/>
      <c r="F18" s="41"/>
    </row>
    <row r="19" spans="1:6" s="2" customFormat="1" ht="19.899999999999999" customHeight="1" x14ac:dyDescent="0.5">
      <c r="A19" s="59"/>
      <c r="B19" s="46"/>
      <c r="C19" s="37"/>
      <c r="D19" s="47"/>
      <c r="E19" s="47"/>
      <c r="F19" s="41"/>
    </row>
    <row r="20" spans="1:6" s="2" customFormat="1" ht="19.899999999999999" customHeight="1" x14ac:dyDescent="0.5">
      <c r="A20" s="59">
        <v>4</v>
      </c>
      <c r="B20" s="93" t="str">
        <f>'Evaluate Interview form'!$W$9</f>
        <v>การวางแผนและการจัดระเบียบ 
(Planning &amp; Organizing)</v>
      </c>
      <c r="C20" s="37">
        <v>1</v>
      </c>
      <c r="D20" s="47" t="s">
        <v>148</v>
      </c>
      <c r="E20" s="47"/>
      <c r="F20" s="41"/>
    </row>
    <row r="21" spans="1:6" s="2" customFormat="1" ht="19.899999999999999" customHeight="1" x14ac:dyDescent="0.5">
      <c r="A21" s="59"/>
      <c r="B21" s="55" t="s">
        <v>60</v>
      </c>
      <c r="C21" s="37">
        <v>2</v>
      </c>
      <c r="D21" s="96" t="s">
        <v>149</v>
      </c>
      <c r="E21" s="47"/>
      <c r="F21" s="41"/>
    </row>
    <row r="22" spans="1:6" s="2" customFormat="1" ht="19.899999999999999" customHeight="1" x14ac:dyDescent="0.5">
      <c r="A22" s="59"/>
      <c r="B22" s="55" t="s">
        <v>244</v>
      </c>
      <c r="C22" s="37">
        <v>3</v>
      </c>
      <c r="D22" s="48" t="s">
        <v>150</v>
      </c>
      <c r="E22" s="47"/>
      <c r="F22" s="41"/>
    </row>
    <row r="23" spans="1:6" s="2" customFormat="1" ht="19.899999999999999" customHeight="1" x14ac:dyDescent="0.5">
      <c r="A23" s="59"/>
      <c r="B23" s="55"/>
      <c r="C23" s="37">
        <v>4</v>
      </c>
      <c r="D23" s="47" t="s">
        <v>220</v>
      </c>
      <c r="E23" s="47"/>
      <c r="F23" s="41"/>
    </row>
    <row r="24" spans="1:6" s="2" customFormat="1" ht="19.899999999999999" customHeight="1" x14ac:dyDescent="0.5">
      <c r="A24" s="59"/>
      <c r="B24" s="55"/>
      <c r="C24" s="37">
        <v>5</v>
      </c>
      <c r="D24" s="47" t="s">
        <v>221</v>
      </c>
      <c r="E24" s="47"/>
      <c r="F24" s="41"/>
    </row>
    <row r="25" spans="1:6" s="2" customFormat="1" ht="19.899999999999999" customHeight="1" x14ac:dyDescent="0.5">
      <c r="A25" s="59"/>
      <c r="B25" s="46"/>
      <c r="C25" s="37"/>
      <c r="D25" s="47"/>
      <c r="E25" s="47"/>
      <c r="F25" s="41"/>
    </row>
    <row r="26" spans="1:6" s="2" customFormat="1" ht="19.899999999999999" customHeight="1" x14ac:dyDescent="0.5">
      <c r="A26" s="59">
        <v>5</v>
      </c>
      <c r="B26" s="93" t="str">
        <f>'Evaluate Interview form'!$W$11</f>
        <v>ทักษะการสื่อสารและเจรจา 
(Communication &amp; Negotiation)</v>
      </c>
      <c r="C26" s="37">
        <v>1</v>
      </c>
      <c r="D26" s="47" t="s">
        <v>153</v>
      </c>
      <c r="E26" s="47"/>
      <c r="F26" s="41"/>
    </row>
    <row r="27" spans="1:6" s="2" customFormat="1" ht="19.899999999999999" customHeight="1" x14ac:dyDescent="0.5">
      <c r="A27" s="59"/>
      <c r="B27" s="55" t="s">
        <v>63</v>
      </c>
      <c r="C27" s="37">
        <v>2</v>
      </c>
      <c r="D27" s="47" t="s">
        <v>154</v>
      </c>
      <c r="E27" s="47"/>
      <c r="F27" s="41"/>
    </row>
    <row r="28" spans="1:6" s="2" customFormat="1" ht="19.899999999999999" customHeight="1" x14ac:dyDescent="0.5">
      <c r="A28" s="59"/>
      <c r="B28" s="55"/>
      <c r="C28" s="37">
        <v>3</v>
      </c>
      <c r="D28" s="47" t="s">
        <v>222</v>
      </c>
      <c r="E28" s="47"/>
      <c r="F28" s="41"/>
    </row>
    <row r="29" spans="1:6" s="2" customFormat="1" ht="19.899999999999999" customHeight="1" x14ac:dyDescent="0.5">
      <c r="A29" s="59"/>
      <c r="B29" s="55"/>
      <c r="C29" s="37">
        <v>4</v>
      </c>
      <c r="D29" s="47" t="s">
        <v>223</v>
      </c>
      <c r="E29" s="47"/>
      <c r="F29" s="41"/>
    </row>
    <row r="30" spans="1:6" s="2" customFormat="1" ht="19.899999999999999" customHeight="1" x14ac:dyDescent="0.5">
      <c r="A30" s="59"/>
      <c r="B30" s="55"/>
      <c r="C30" s="37">
        <v>5</v>
      </c>
      <c r="D30" s="47" t="s">
        <v>157</v>
      </c>
      <c r="E30" s="47"/>
      <c r="F30" s="41"/>
    </row>
    <row r="31" spans="1:6" s="2" customFormat="1" ht="19.899999999999999" customHeight="1" x14ac:dyDescent="0.5">
      <c r="A31" s="59"/>
      <c r="B31" s="46"/>
      <c r="C31" s="37"/>
      <c r="D31" s="47"/>
      <c r="E31" s="47"/>
      <c r="F31" s="41"/>
    </row>
    <row r="32" spans="1:6" s="2" customFormat="1" ht="19.899999999999999" customHeight="1" x14ac:dyDescent="0.5">
      <c r="A32" s="59">
        <v>6</v>
      </c>
      <c r="B32" s="93" t="str">
        <f>'Evaluate Interview form'!$W$14</f>
        <v>ความกระตือรือร้น &amp; ทัศนคติเชิงบวก
 (Proactive &amp; Growth Mindset)</v>
      </c>
      <c r="C32" s="42">
        <v>1</v>
      </c>
      <c r="D32" s="50" t="s">
        <v>158</v>
      </c>
      <c r="E32" s="47"/>
      <c r="F32" s="41"/>
    </row>
    <row r="33" spans="1:7" s="2" customFormat="1" ht="19.899999999999999" customHeight="1" x14ac:dyDescent="0.5">
      <c r="A33" s="59"/>
      <c r="B33" s="55" t="s">
        <v>245</v>
      </c>
      <c r="C33" s="37">
        <v>2</v>
      </c>
      <c r="D33" s="47" t="s">
        <v>159</v>
      </c>
      <c r="E33" s="47"/>
      <c r="F33" s="41"/>
    </row>
    <row r="34" spans="1:7" s="2" customFormat="1" ht="19.899999999999999" customHeight="1" x14ac:dyDescent="0.5">
      <c r="A34" s="59"/>
      <c r="B34" s="44"/>
      <c r="C34" s="37">
        <v>3</v>
      </c>
      <c r="D34" s="47" t="s">
        <v>160</v>
      </c>
      <c r="E34" s="47"/>
      <c r="F34" s="41"/>
    </row>
    <row r="35" spans="1:7" s="2" customFormat="1" ht="19.899999999999999" customHeight="1" x14ac:dyDescent="0.5">
      <c r="A35" s="59"/>
      <c r="B35" s="44"/>
      <c r="C35" s="37">
        <v>4</v>
      </c>
      <c r="D35" s="47" t="s">
        <v>161</v>
      </c>
      <c r="E35" s="47"/>
      <c r="F35" s="41"/>
    </row>
    <row r="36" spans="1:7" s="2" customFormat="1" ht="19.899999999999999" customHeight="1" x14ac:dyDescent="0.5">
      <c r="A36" s="59"/>
      <c r="B36" s="44"/>
      <c r="C36" s="37">
        <v>5</v>
      </c>
      <c r="D36" s="47" t="s">
        <v>224</v>
      </c>
      <c r="E36" s="47"/>
      <c r="F36" s="41"/>
    </row>
    <row r="37" spans="1:7" s="2" customFormat="1" ht="19.899999999999999" customHeight="1" x14ac:dyDescent="0.5">
      <c r="A37" s="59"/>
      <c r="B37" s="46"/>
      <c r="C37" s="37"/>
      <c r="D37" s="47"/>
      <c r="E37" s="47"/>
      <c r="F37" s="41"/>
    </row>
    <row r="38" spans="1:7" ht="19.899999999999999" customHeight="1" x14ac:dyDescent="0.5">
      <c r="A38" s="59">
        <v>7</v>
      </c>
      <c r="B38" s="93" t="str">
        <f>'Evaluate Interview form'!$Z$6</f>
        <v>การปรับตัว &amp; การทำงานร่วมกันเป็นทีม
(Adaptability &amp; Teamwork)</v>
      </c>
      <c r="C38" s="37">
        <v>1</v>
      </c>
      <c r="D38" s="47" t="s">
        <v>163</v>
      </c>
      <c r="E38" s="49"/>
      <c r="F38" s="39"/>
      <c r="G38" s="38"/>
    </row>
    <row r="39" spans="1:7" ht="19.899999999999999" customHeight="1" x14ac:dyDescent="0.5">
      <c r="A39" s="59"/>
      <c r="B39" s="55" t="s">
        <v>246</v>
      </c>
      <c r="C39" s="37">
        <v>2</v>
      </c>
      <c r="D39" s="47" t="s">
        <v>164</v>
      </c>
      <c r="E39" s="49"/>
      <c r="F39" s="39"/>
      <c r="G39" s="38"/>
    </row>
    <row r="40" spans="1:7" ht="19.899999999999999" customHeight="1" x14ac:dyDescent="0.5">
      <c r="A40" s="59"/>
      <c r="B40" s="44" t="s">
        <v>247</v>
      </c>
      <c r="C40" s="37">
        <v>3</v>
      </c>
      <c r="D40" s="47" t="s">
        <v>165</v>
      </c>
      <c r="E40" s="49"/>
      <c r="F40" s="39"/>
      <c r="G40" s="38"/>
    </row>
    <row r="41" spans="1:7" ht="19.899999999999999" customHeight="1" x14ac:dyDescent="0.5">
      <c r="A41" s="59"/>
      <c r="B41" s="44"/>
      <c r="C41" s="37">
        <v>4</v>
      </c>
      <c r="D41" s="47" t="s">
        <v>166</v>
      </c>
      <c r="E41" s="49"/>
      <c r="F41" s="39"/>
      <c r="G41" s="38"/>
    </row>
    <row r="42" spans="1:7" ht="19.899999999999999" customHeight="1" x14ac:dyDescent="0.5">
      <c r="A42" s="59"/>
      <c r="B42" s="44"/>
      <c r="C42" s="37">
        <v>5</v>
      </c>
      <c r="D42" s="47" t="s">
        <v>225</v>
      </c>
      <c r="E42" s="49"/>
      <c r="F42" s="39"/>
      <c r="G42" s="38"/>
    </row>
    <row r="43" spans="1:7" ht="19.899999999999999" customHeight="1" x14ac:dyDescent="0.5">
      <c r="A43" s="59"/>
      <c r="B43" s="44"/>
      <c r="C43" s="37"/>
      <c r="D43" s="47"/>
      <c r="E43" s="47"/>
      <c r="F43" s="41"/>
    </row>
    <row r="44" spans="1:7" ht="19.899999999999999" customHeight="1" x14ac:dyDescent="0.5">
      <c r="A44" s="59">
        <v>8</v>
      </c>
      <c r="B44" s="93" t="s">
        <v>212</v>
      </c>
      <c r="C44" s="37">
        <v>1</v>
      </c>
      <c r="D44" s="47" t="s">
        <v>168</v>
      </c>
      <c r="E44" s="50"/>
      <c r="F44" s="41"/>
    </row>
    <row r="45" spans="1:7" ht="19.899999999999999" customHeight="1" x14ac:dyDescent="0.5">
      <c r="A45" s="59"/>
      <c r="B45" s="55" t="s">
        <v>52</v>
      </c>
      <c r="C45" s="37">
        <v>2</v>
      </c>
      <c r="D45" s="47" t="s">
        <v>169</v>
      </c>
      <c r="E45" s="47"/>
      <c r="F45" s="41"/>
    </row>
    <row r="46" spans="1:7" ht="19.899999999999999" customHeight="1" x14ac:dyDescent="0.5">
      <c r="A46" s="59"/>
      <c r="B46" s="55" t="s">
        <v>248</v>
      </c>
      <c r="C46" s="37">
        <v>3</v>
      </c>
      <c r="D46" s="47" t="s">
        <v>170</v>
      </c>
      <c r="E46" s="47"/>
      <c r="F46" s="41"/>
    </row>
    <row r="47" spans="1:7" ht="19.899999999999999" customHeight="1" x14ac:dyDescent="0.5">
      <c r="A47" s="59"/>
      <c r="B47" s="55"/>
      <c r="C47" s="37">
        <v>4</v>
      </c>
      <c r="D47" s="47" t="s">
        <v>171</v>
      </c>
      <c r="E47" s="47"/>
      <c r="F47" s="41"/>
    </row>
    <row r="48" spans="1:7" ht="19.899999999999999" customHeight="1" x14ac:dyDescent="0.5">
      <c r="A48" s="59"/>
      <c r="B48" s="55"/>
      <c r="C48" s="37">
        <v>5</v>
      </c>
      <c r="D48" s="47" t="s">
        <v>172</v>
      </c>
      <c r="E48" s="47"/>
      <c r="F48" s="41"/>
    </row>
    <row r="49" spans="1:6" ht="19.899999999999999" customHeight="1" x14ac:dyDescent="0.5">
      <c r="A49" s="59"/>
      <c r="B49" s="44"/>
      <c r="C49" s="37"/>
      <c r="D49" s="47"/>
      <c r="E49" s="47"/>
      <c r="F49" s="41"/>
    </row>
    <row r="50" spans="1:6" s="2" customFormat="1" ht="19.899999999999999" customHeight="1" x14ac:dyDescent="0.5">
      <c r="A50" s="59">
        <v>9</v>
      </c>
      <c r="B50" s="93" t="str">
        <f>'Evaluate Interview form'!$W$15</f>
        <v>พัฒนาทักษะตัวเองอยู่เสมอ 
(Self-Development)</v>
      </c>
      <c r="C50" s="37">
        <v>1</v>
      </c>
      <c r="D50" s="47" t="s">
        <v>173</v>
      </c>
      <c r="E50" s="47"/>
      <c r="F50" s="41"/>
    </row>
    <row r="51" spans="1:6" s="2" customFormat="1" ht="19.899999999999999" customHeight="1" x14ac:dyDescent="0.5">
      <c r="A51" s="59"/>
      <c r="B51" s="55" t="s">
        <v>27</v>
      </c>
      <c r="C51" s="37">
        <v>2</v>
      </c>
      <c r="D51" s="47" t="s">
        <v>174</v>
      </c>
      <c r="E51" s="47"/>
      <c r="F51" s="41"/>
    </row>
    <row r="52" spans="1:6" s="2" customFormat="1" ht="19.899999999999999" customHeight="1" x14ac:dyDescent="0.5">
      <c r="A52" s="59"/>
      <c r="B52" s="44"/>
      <c r="C52" s="37">
        <v>3</v>
      </c>
      <c r="D52" s="47" t="s">
        <v>175</v>
      </c>
      <c r="E52" s="47"/>
      <c r="F52" s="41"/>
    </row>
    <row r="53" spans="1:6" s="2" customFormat="1" ht="19.899999999999999" customHeight="1" x14ac:dyDescent="0.5">
      <c r="A53" s="59"/>
      <c r="B53" s="44"/>
      <c r="C53" s="37">
        <v>4</v>
      </c>
      <c r="D53" s="47" t="s">
        <v>176</v>
      </c>
      <c r="E53" s="47"/>
      <c r="F53" s="41"/>
    </row>
    <row r="54" spans="1:6" s="2" customFormat="1" ht="19.899999999999999" customHeight="1" x14ac:dyDescent="0.5">
      <c r="A54" s="59"/>
      <c r="B54" s="44"/>
      <c r="C54" s="37">
        <v>5</v>
      </c>
      <c r="D54" s="47" t="s">
        <v>177</v>
      </c>
      <c r="E54" s="47"/>
      <c r="F54" s="41"/>
    </row>
    <row r="55" spans="1:6" s="2" customFormat="1" ht="19.899999999999999" customHeight="1" x14ac:dyDescent="0.5">
      <c r="A55" s="59"/>
      <c r="B55" s="44"/>
      <c r="C55" s="37"/>
      <c r="D55" s="47"/>
      <c r="E55" s="47"/>
      <c r="F55" s="41"/>
    </row>
    <row r="56" spans="1:6" s="2" customFormat="1" ht="19.899999999999999" customHeight="1" x14ac:dyDescent="0.5">
      <c r="A56" s="59">
        <v>10</v>
      </c>
      <c r="B56" s="93" t="str">
        <f>'Evaluate Interview form'!$W$16</f>
        <v>เข้าใจและตอบสนองความต้องการ &amp; ใจรักการบริการ
 (Customer Focus &amp; Service Mindset)</v>
      </c>
      <c r="C56" s="37">
        <v>1</v>
      </c>
      <c r="D56" s="47" t="s">
        <v>178</v>
      </c>
      <c r="E56" s="47"/>
      <c r="F56" s="41"/>
    </row>
    <row r="57" spans="1:6" s="2" customFormat="1" ht="19.899999999999999" customHeight="1" x14ac:dyDescent="0.5">
      <c r="A57" s="59"/>
      <c r="B57" s="55" t="s">
        <v>75</v>
      </c>
      <c r="C57" s="37">
        <v>2</v>
      </c>
      <c r="D57" s="47" t="s">
        <v>226</v>
      </c>
      <c r="E57" s="47"/>
      <c r="F57" s="41"/>
    </row>
    <row r="58" spans="1:6" s="2" customFormat="1" ht="19.899999999999999" customHeight="1" x14ac:dyDescent="0.5">
      <c r="A58" s="59"/>
      <c r="B58" s="44"/>
      <c r="C58" s="37">
        <v>3</v>
      </c>
      <c r="D58" s="47" t="s">
        <v>227</v>
      </c>
      <c r="E58" s="47"/>
      <c r="F58" s="41"/>
    </row>
    <row r="59" spans="1:6" s="2" customFormat="1" ht="19.899999999999999" customHeight="1" x14ac:dyDescent="0.5">
      <c r="A59" s="59"/>
      <c r="B59" s="44"/>
      <c r="C59" s="37">
        <v>4</v>
      </c>
      <c r="D59" s="47" t="s">
        <v>228</v>
      </c>
      <c r="E59" s="47"/>
      <c r="F59" s="41"/>
    </row>
    <row r="60" spans="1:6" s="2" customFormat="1" ht="19.899999999999999" customHeight="1" x14ac:dyDescent="0.5">
      <c r="A60" s="59"/>
      <c r="B60" s="44"/>
      <c r="C60" s="37">
        <v>5</v>
      </c>
      <c r="D60" s="47" t="s">
        <v>229</v>
      </c>
      <c r="E60" s="47"/>
      <c r="F60" s="41"/>
    </row>
    <row r="61" spans="1:6" s="2" customFormat="1" ht="19.899999999999999" customHeight="1" x14ac:dyDescent="0.5">
      <c r="A61" s="59"/>
      <c r="B61" s="44"/>
      <c r="C61" s="37"/>
      <c r="D61" s="47"/>
      <c r="E61" s="47"/>
      <c r="F61" s="41"/>
    </row>
    <row r="62" spans="1:6" s="2" customFormat="1" ht="19.899999999999999" customHeight="1" x14ac:dyDescent="0.5">
      <c r="A62" s="59">
        <v>11</v>
      </c>
      <c r="B62" s="93" t="str">
        <f>'Evaluate Interview form'!$W$13</f>
        <v>รับผิดชอบงานของตนเอง 
(Accountability / Ownership)</v>
      </c>
      <c r="C62" s="37">
        <v>1</v>
      </c>
      <c r="D62" s="49" t="s">
        <v>183</v>
      </c>
      <c r="E62" s="47"/>
      <c r="F62" s="41"/>
    </row>
    <row r="63" spans="1:6" s="2" customFormat="1" ht="19.899999999999999" customHeight="1" x14ac:dyDescent="0.5">
      <c r="A63" s="59"/>
      <c r="B63" s="55" t="s">
        <v>84</v>
      </c>
      <c r="C63" s="37">
        <v>2</v>
      </c>
      <c r="D63" s="49" t="s">
        <v>184</v>
      </c>
      <c r="E63" s="47"/>
      <c r="F63" s="41"/>
    </row>
    <row r="64" spans="1:6" s="2" customFormat="1" ht="19.899999999999999" customHeight="1" x14ac:dyDescent="0.5">
      <c r="A64" s="59"/>
      <c r="B64" s="44" t="s">
        <v>249</v>
      </c>
      <c r="C64" s="37">
        <v>3</v>
      </c>
      <c r="D64" s="49" t="s">
        <v>230</v>
      </c>
      <c r="E64" s="47"/>
      <c r="F64" s="41"/>
    </row>
    <row r="65" spans="1:6" s="2" customFormat="1" ht="19.899999999999999" customHeight="1" x14ac:dyDescent="0.5">
      <c r="A65" s="59"/>
      <c r="B65" s="44"/>
      <c r="C65" s="37">
        <v>4</v>
      </c>
      <c r="D65" s="49" t="s">
        <v>231</v>
      </c>
      <c r="E65" s="47"/>
      <c r="F65" s="41"/>
    </row>
    <row r="66" spans="1:6" s="2" customFormat="1" ht="19.899999999999999" customHeight="1" x14ac:dyDescent="0.5">
      <c r="A66" s="59"/>
      <c r="B66" s="44"/>
      <c r="C66" s="37">
        <v>5</v>
      </c>
      <c r="D66" s="49" t="s">
        <v>187</v>
      </c>
      <c r="E66" s="47"/>
      <c r="F66" s="41"/>
    </row>
    <row r="67" spans="1:6" s="2" customFormat="1" ht="19.899999999999999" customHeight="1" x14ac:dyDescent="0.5">
      <c r="A67" s="59"/>
      <c r="B67" s="44"/>
      <c r="C67" s="37"/>
      <c r="D67" s="47"/>
      <c r="E67" s="47"/>
      <c r="F67" s="41"/>
    </row>
    <row r="68" spans="1:6" s="2" customFormat="1" ht="19.899999999999999" customHeight="1" x14ac:dyDescent="0.5">
      <c r="A68" s="59">
        <v>12</v>
      </c>
      <c r="B68" s="93" t="str">
        <f>'Evaluate Interview form'!$Z$9</f>
        <v>มีความซื่อสัตย์ในการทำงาน 
(Work Ethic)</v>
      </c>
      <c r="C68" s="37">
        <v>1</v>
      </c>
      <c r="D68" s="47" t="s">
        <v>188</v>
      </c>
      <c r="E68" s="47"/>
      <c r="F68" s="41"/>
    </row>
    <row r="69" spans="1:6" s="2" customFormat="1" ht="19.899999999999999" customHeight="1" x14ac:dyDescent="0.5">
      <c r="A69" s="59"/>
      <c r="B69" s="55" t="s">
        <v>66</v>
      </c>
      <c r="C69" s="37">
        <v>2</v>
      </c>
      <c r="D69" s="47" t="s">
        <v>189</v>
      </c>
      <c r="E69" s="47"/>
      <c r="F69" s="41"/>
    </row>
    <row r="70" spans="1:6" s="2" customFormat="1" ht="19.899999999999999" customHeight="1" x14ac:dyDescent="0.5">
      <c r="A70" s="59"/>
      <c r="B70" s="44"/>
      <c r="C70" s="37">
        <v>3</v>
      </c>
      <c r="D70" s="47" t="s">
        <v>190</v>
      </c>
      <c r="E70" s="47"/>
      <c r="F70" s="41"/>
    </row>
    <row r="71" spans="1:6" s="2" customFormat="1" ht="19.899999999999999" customHeight="1" x14ac:dyDescent="0.5">
      <c r="A71" s="59"/>
      <c r="B71" s="44"/>
      <c r="C71" s="37">
        <v>4</v>
      </c>
      <c r="D71" s="47" t="s">
        <v>191</v>
      </c>
      <c r="E71" s="47"/>
      <c r="F71" s="41"/>
    </row>
    <row r="72" spans="1:6" s="2" customFormat="1" ht="19.899999999999999" customHeight="1" x14ac:dyDescent="0.5">
      <c r="A72" s="59"/>
      <c r="B72" s="44"/>
      <c r="C72" s="37">
        <v>5</v>
      </c>
      <c r="D72" s="47" t="s">
        <v>192</v>
      </c>
      <c r="E72" s="47"/>
      <c r="F72" s="41"/>
    </row>
    <row r="73" spans="1:6" s="2" customFormat="1" ht="19.899999999999999" customHeight="1" x14ac:dyDescent="0.5">
      <c r="A73" s="59"/>
      <c r="B73" s="44"/>
      <c r="C73" s="37"/>
      <c r="D73" s="47"/>
      <c r="E73" s="47"/>
      <c r="F73" s="41"/>
    </row>
    <row r="74" spans="1:6" s="2" customFormat="1" x14ac:dyDescent="0.5">
      <c r="A74" s="37"/>
      <c r="C74" s="37"/>
    </row>
    <row r="75" spans="1:6" s="2" customFormat="1" x14ac:dyDescent="0.5">
      <c r="A75" s="37"/>
      <c r="C75" s="37"/>
    </row>
    <row r="76" spans="1:6" s="2" customFormat="1" x14ac:dyDescent="0.5">
      <c r="A76" s="37"/>
      <c r="C76" s="37"/>
    </row>
    <row r="77" spans="1:6" s="2" customFormat="1" x14ac:dyDescent="0.5">
      <c r="A77" s="37"/>
      <c r="C77" s="37"/>
    </row>
    <row r="78" spans="1:6" s="2" customFormat="1" x14ac:dyDescent="0.5">
      <c r="A78" s="37"/>
      <c r="C78" s="37"/>
    </row>
    <row r="79" spans="1:6" s="2" customFormat="1" x14ac:dyDescent="0.5">
      <c r="A79" s="37"/>
      <c r="C79" s="37"/>
    </row>
    <row r="80" spans="1:6" s="2" customFormat="1" x14ac:dyDescent="0.5">
      <c r="A80" s="37"/>
      <c r="C80" s="37"/>
    </row>
    <row r="81" spans="1:3" s="2" customFormat="1" x14ac:dyDescent="0.5">
      <c r="A81" s="37"/>
      <c r="C81" s="37"/>
    </row>
    <row r="82" spans="1:3" s="2" customFormat="1" x14ac:dyDescent="0.5">
      <c r="A82" s="37"/>
      <c r="C82" s="37"/>
    </row>
    <row r="83" spans="1:3" s="2" customFormat="1" x14ac:dyDescent="0.5">
      <c r="A83" s="37"/>
      <c r="C83" s="37"/>
    </row>
    <row r="84" spans="1:3" s="2" customFormat="1" x14ac:dyDescent="0.5">
      <c r="A84" s="37"/>
      <c r="C84" s="37"/>
    </row>
    <row r="85" spans="1:3" s="2" customFormat="1" x14ac:dyDescent="0.5">
      <c r="A85" s="37"/>
      <c r="C85" s="37"/>
    </row>
    <row r="86" spans="1:3" s="2" customFormat="1" x14ac:dyDescent="0.5">
      <c r="A86" s="37"/>
      <c r="C86" s="37"/>
    </row>
    <row r="87" spans="1:3" s="2" customFormat="1" x14ac:dyDescent="0.5">
      <c r="A87" s="37"/>
      <c r="C87" s="37"/>
    </row>
    <row r="88" spans="1:3" s="2" customFormat="1" x14ac:dyDescent="0.5">
      <c r="A88" s="37"/>
      <c r="C88" s="37"/>
    </row>
    <row r="89" spans="1:3" s="2" customFormat="1" x14ac:dyDescent="0.5">
      <c r="A89" s="37"/>
      <c r="C89" s="37"/>
    </row>
    <row r="90" spans="1:3" s="2" customFormat="1" x14ac:dyDescent="0.5">
      <c r="A90" s="37"/>
      <c r="C90" s="37"/>
    </row>
    <row r="91" spans="1:3" s="2" customFormat="1" x14ac:dyDescent="0.5">
      <c r="A91" s="37"/>
      <c r="C91" s="37"/>
    </row>
    <row r="92" spans="1:3" s="2" customFormat="1" x14ac:dyDescent="0.5">
      <c r="A92" s="37"/>
      <c r="C92" s="37"/>
    </row>
    <row r="93" spans="1:3" s="2" customFormat="1" x14ac:dyDescent="0.5">
      <c r="A93" s="37"/>
      <c r="C93" s="37"/>
    </row>
    <row r="94" spans="1:3" s="2" customFormat="1" x14ac:dyDescent="0.5">
      <c r="A94" s="37"/>
      <c r="C94" s="37"/>
    </row>
    <row r="95" spans="1:3" s="2" customFormat="1" x14ac:dyDescent="0.5">
      <c r="A95" s="37"/>
      <c r="C95" s="37"/>
    </row>
    <row r="96" spans="1:3" s="2" customFormat="1" x14ac:dyDescent="0.5">
      <c r="A96" s="37"/>
      <c r="C96" s="37"/>
    </row>
    <row r="97" spans="1:3" s="2" customFormat="1" x14ac:dyDescent="0.5">
      <c r="A97" s="37"/>
      <c r="C97" s="37"/>
    </row>
    <row r="98" spans="1:3" s="2" customFormat="1" x14ac:dyDescent="0.5">
      <c r="A98" s="37"/>
      <c r="C98" s="37"/>
    </row>
    <row r="99" spans="1:3" s="2" customFormat="1" x14ac:dyDescent="0.5">
      <c r="A99" s="37"/>
      <c r="C99" s="37"/>
    </row>
  </sheetData>
  <sheetProtection algorithmName="SHA-512" hashValue="T9BcI6dQAJEpOKJ/u0Wdp0QLG7CbsRgKFntGbkILVsfKrQ0rfQwjGZPQDLewnxmw0TAnGdVafBmNXjsJPyMIIg==" saltValue="nnxILSF3/Jp9orNTow1JOw==" spinCount="100000" sheet="1" objects="1" scenarios="1"/>
  <pageMargins left="0.25" right="0.25" top="0.75" bottom="0.75" header="0.3" footer="0.3"/>
  <pageSetup scale="26" orientation="portrait" horizontalDpi="4294967292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C7D9E-B4B6-4BD6-91D3-0848F07B03FA}">
  <dimension ref="A1"/>
  <sheetViews>
    <sheetView topLeftCell="A10" workbookViewId="0">
      <selection activeCell="Q25" sqref="Q2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Evaluate Interview form</vt:lpstr>
      <vt:lpstr>Evaluate Interview form (Demo)</vt:lpstr>
      <vt:lpstr>New_Competency Test </vt:lpstr>
      <vt:lpstr>Competency detail</vt:lpstr>
      <vt:lpstr>Sheet1</vt:lpstr>
      <vt:lpstr>'Competency detail'!Print_Area</vt:lpstr>
      <vt:lpstr>'Evaluate Interview form'!Print_Area</vt:lpstr>
      <vt:lpstr>'Evaluate Interview form (Demo)'!Print_Area</vt:lpstr>
      <vt:lpstr>'New_Competency Test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Suttharinthon Tapan</dc:creator>
  <cp:keywords/>
  <dc:description/>
  <cp:lastModifiedBy>Nattapong Yuwasirinun</cp:lastModifiedBy>
  <cp:revision/>
  <dcterms:created xsi:type="dcterms:W3CDTF">2025-06-09T03:24:58Z</dcterms:created>
  <dcterms:modified xsi:type="dcterms:W3CDTF">2026-03-06T11:09:31Z</dcterms:modified>
  <cp:category/>
  <cp:contentStatus/>
</cp:coreProperties>
</file>